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\\servidor\Datos\Comun\TIKA ABOGADOS\LABORAL TIKA\GESTION EMPRESAS\DSD PLANNING CENTER S.L\DSD PLANNING CENTER S.L\NOMINAS\2026\Enero\"/>
    </mc:Choice>
  </mc:AlternateContent>
  <xr:revisionPtr revIDLastSave="0" documentId="8_{E1661FE6-DB96-4D29-8BC7-F322C2AB3414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1" sheetId="3" r:id="rId1"/>
    <sheet name="2" sheetId="4" r:id="rId2"/>
    <sheet name="3" sheetId="5" r:id="rId3"/>
    <sheet name="4" sheetId="6" r:id="rId4"/>
    <sheet name="5" sheetId="7" r:id="rId5"/>
    <sheet name="6" sheetId="8" r:id="rId6"/>
    <sheet name="7" sheetId="9" r:id="rId7"/>
    <sheet name="8" sheetId="10" r:id="rId8"/>
    <sheet name="9" sheetId="11" r:id="rId9"/>
    <sheet name="10" sheetId="12" r:id="rId10"/>
    <sheet name="11" sheetId="13" r:id="rId11"/>
    <sheet name="12" sheetId="14" r:id="rId12"/>
  </sheets>
  <definedNames>
    <definedName name="_xlnm.Print_Area" localSheetId="0">'1'!$A$1:$G$47</definedName>
    <definedName name="_xlnm.Print_Area" localSheetId="9">'10'!$A$1:$E$55</definedName>
    <definedName name="_xlnm.Print_Area" localSheetId="10">'11'!$A$1:$K$64</definedName>
    <definedName name="_xlnm.Print_Area" localSheetId="11">'12'!$A$1:$F$75</definedName>
    <definedName name="_xlnm.Print_Area" localSheetId="1">'2'!$A$1:$E$48</definedName>
    <definedName name="_xlnm.Print_Area" localSheetId="2">'3'!$A$1:$J$58</definedName>
    <definedName name="_xlnm.Print_Area" localSheetId="3">'4'!$A$1:$E$59</definedName>
    <definedName name="_xlnm.Print_Area" localSheetId="4">'5'!$A$1:$AX$70</definedName>
    <definedName name="_xlnm.Print_Area" localSheetId="5">'6'!$A$1:$E$71</definedName>
    <definedName name="_xlnm.Print_Area" localSheetId="6">'7'!$A$1:$J$60</definedName>
    <definedName name="_xlnm.Print_Area" localSheetId="7">'8'!$A$1:$E$61</definedName>
    <definedName name="_xlnm.Print_Area" localSheetId="8">'9'!$A$1:$F$54</definedName>
    <definedName name="_xlnm.Print_Titles" localSheetId="0">'1'!$A:$C</definedName>
    <definedName name="_xlnm.Print_Titles" localSheetId="9">'10'!$A:$C</definedName>
    <definedName name="_xlnm.Print_Titles" localSheetId="10">'11'!$A:$C</definedName>
    <definedName name="_xlnm.Print_Titles" localSheetId="11">'12'!$A:$C</definedName>
    <definedName name="_xlnm.Print_Titles" localSheetId="1">'2'!$A:$C</definedName>
    <definedName name="_xlnm.Print_Titles" localSheetId="2">'3'!$A:$C</definedName>
    <definedName name="_xlnm.Print_Titles" localSheetId="3">'4'!$A:$C</definedName>
    <definedName name="_xlnm.Print_Titles" localSheetId="4">'5'!$A:$C</definedName>
    <definedName name="_xlnm.Print_Titles" localSheetId="5">'6'!$A:$C</definedName>
    <definedName name="_xlnm.Print_Titles" localSheetId="6">'7'!$A:$C</definedName>
    <definedName name="_xlnm.Print_Titles" localSheetId="7">'8'!$A:$C</definedName>
    <definedName name="_xlnm.Print_Titles" localSheetId="8">'9'!$A:$C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6" l="1"/>
  <c r="D74" i="14"/>
  <c r="E74" i="14" s="1"/>
  <c r="D73" i="14"/>
  <c r="E73" i="14" s="1"/>
  <c r="D72" i="14"/>
  <c r="D71" i="14"/>
  <c r="E71" i="14" s="1"/>
  <c r="D70" i="14"/>
  <c r="E70" i="14" s="1"/>
  <c r="D69" i="14"/>
  <c r="E69" i="14" s="1"/>
  <c r="D68" i="14"/>
  <c r="E68" i="14" s="1"/>
  <c r="D67" i="14"/>
  <c r="E67" i="14" s="1"/>
  <c r="D66" i="14"/>
  <c r="E66" i="14" s="1"/>
  <c r="D65" i="14"/>
  <c r="E65" i="14" s="1"/>
  <c r="D64" i="14"/>
  <c r="D62" i="14"/>
  <c r="E62" i="14" s="1"/>
  <c r="D61" i="14"/>
  <c r="E61" i="14" s="1"/>
  <c r="D60" i="14"/>
  <c r="E60" i="14" s="1"/>
  <c r="D59" i="14"/>
  <c r="E59" i="14" s="1"/>
  <c r="D58" i="14"/>
  <c r="E58" i="14" s="1"/>
  <c r="D57" i="14"/>
  <c r="E57" i="14" s="1"/>
  <c r="D52" i="14"/>
  <c r="E52" i="14" s="1"/>
  <c r="D51" i="14"/>
  <c r="E51" i="14" s="1"/>
  <c r="D50" i="14"/>
  <c r="E50" i="14" s="1"/>
  <c r="D49" i="14"/>
  <c r="E49" i="14" s="1"/>
  <c r="D48" i="14"/>
  <c r="E48" i="14" s="1"/>
  <c r="D47" i="14"/>
  <c r="E47" i="14" s="1"/>
  <c r="D42" i="14"/>
  <c r="D40" i="14"/>
  <c r="E40" i="14" s="1"/>
  <c r="D39" i="14"/>
  <c r="E39" i="14" s="1"/>
  <c r="D38" i="14"/>
  <c r="E38" i="14" s="1"/>
  <c r="D37" i="14"/>
  <c r="E37" i="14" s="1"/>
  <c r="D36" i="14"/>
  <c r="E36" i="14" s="1"/>
  <c r="D35" i="14"/>
  <c r="E35" i="14" s="1"/>
  <c r="D34" i="14"/>
  <c r="E34" i="14" s="1"/>
  <c r="D32" i="14"/>
  <c r="E32" i="14" s="1"/>
  <c r="D31" i="14"/>
  <c r="E31" i="14" s="1"/>
  <c r="E30" i="14"/>
  <c r="D29" i="14"/>
  <c r="E29" i="14" s="1"/>
  <c r="D26" i="14"/>
  <c r="E26" i="14" s="1"/>
  <c r="D25" i="14"/>
  <c r="E25" i="14" s="1"/>
  <c r="D24" i="14"/>
  <c r="E24" i="14" s="1"/>
  <c r="D23" i="14"/>
  <c r="E23" i="14" s="1"/>
  <c r="D22" i="14"/>
  <c r="E22" i="14" s="1"/>
  <c r="D21" i="14"/>
  <c r="E21" i="14" s="1"/>
  <c r="D19" i="14"/>
  <c r="D16" i="14"/>
  <c r="D14" i="14"/>
  <c r="E14" i="14" s="1"/>
  <c r="D13" i="14"/>
  <c r="E13" i="14" s="1"/>
  <c r="D12" i="14"/>
  <c r="E12" i="14" s="1"/>
  <c r="D11" i="14"/>
  <c r="E11" i="14" s="1"/>
  <c r="I53" i="13"/>
  <c r="F53" i="13"/>
  <c r="E53" i="13"/>
  <c r="F46" i="13"/>
  <c r="E46" i="13"/>
  <c r="D46" i="13"/>
  <c r="J44" i="13"/>
  <c r="I44" i="13"/>
  <c r="H44" i="13"/>
  <c r="G44" i="13"/>
  <c r="F44" i="13"/>
  <c r="E44" i="13"/>
  <c r="D44" i="13"/>
  <c r="D54" i="14" s="1"/>
  <c r="J35" i="13"/>
  <c r="J46" i="13" s="1"/>
  <c r="I35" i="13"/>
  <c r="I46" i="13" s="1"/>
  <c r="H35" i="13"/>
  <c r="H53" i="13" s="1"/>
  <c r="G35" i="13"/>
  <c r="G53" i="13" s="1"/>
  <c r="F35" i="13"/>
  <c r="E35" i="13"/>
  <c r="D35" i="13"/>
  <c r="D53" i="13" s="1"/>
  <c r="D54" i="12"/>
  <c r="D53" i="12"/>
  <c r="D52" i="12"/>
  <c r="D51" i="12"/>
  <c r="D50" i="12"/>
  <c r="D49" i="12"/>
  <c r="D48" i="12"/>
  <c r="D47" i="12"/>
  <c r="D46" i="12"/>
  <c r="D45" i="12"/>
  <c r="D44" i="12"/>
  <c r="D42" i="12"/>
  <c r="D41" i="12"/>
  <c r="D40" i="12"/>
  <c r="D39" i="12"/>
  <c r="D38" i="12"/>
  <c r="D37" i="12"/>
  <c r="D34" i="12"/>
  <c r="D32" i="12"/>
  <c r="D31" i="12"/>
  <c r="D30" i="12"/>
  <c r="D29" i="12"/>
  <c r="D28" i="12"/>
  <c r="D27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E43" i="11"/>
  <c r="D43" i="11"/>
  <c r="D43" i="12" s="1"/>
  <c r="E34" i="11"/>
  <c r="E36" i="11" s="1"/>
  <c r="D34" i="11"/>
  <c r="E25" i="11"/>
  <c r="D25" i="11"/>
  <c r="D25" i="12" s="1"/>
  <c r="D60" i="10"/>
  <c r="D59" i="10"/>
  <c r="D58" i="10"/>
  <c r="D57" i="10"/>
  <c r="D56" i="10"/>
  <c r="D55" i="10"/>
  <c r="D54" i="10"/>
  <c r="D53" i="10"/>
  <c r="D52" i="10"/>
  <c r="D51" i="10"/>
  <c r="D50" i="10"/>
  <c r="D48" i="10"/>
  <c r="D47" i="10"/>
  <c r="D46" i="10"/>
  <c r="D45" i="10"/>
  <c r="D44" i="10"/>
  <c r="D43" i="10"/>
  <c r="D40" i="10"/>
  <c r="D38" i="10"/>
  <c r="D37" i="10"/>
  <c r="D36" i="10"/>
  <c r="D35" i="10"/>
  <c r="D34" i="10"/>
  <c r="D33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E49" i="9"/>
  <c r="D49" i="9"/>
  <c r="H42" i="9"/>
  <c r="E42" i="9"/>
  <c r="D42" i="9"/>
  <c r="I40" i="9"/>
  <c r="H40" i="9"/>
  <c r="G40" i="9"/>
  <c r="F40" i="9"/>
  <c r="E40" i="9"/>
  <c r="D40" i="9"/>
  <c r="I31" i="9"/>
  <c r="I49" i="9" s="1"/>
  <c r="H31" i="9"/>
  <c r="H49" i="9" s="1"/>
  <c r="G31" i="9"/>
  <c r="G42" i="9" s="1"/>
  <c r="F31" i="9"/>
  <c r="F42" i="9" s="1"/>
  <c r="E31" i="9"/>
  <c r="D31" i="9"/>
  <c r="D31" i="10" s="1"/>
  <c r="D70" i="8"/>
  <c r="D69" i="8"/>
  <c r="D68" i="8"/>
  <c r="D67" i="8"/>
  <c r="D66" i="8"/>
  <c r="D65" i="8"/>
  <c r="D64" i="8"/>
  <c r="D63" i="8"/>
  <c r="D62" i="8"/>
  <c r="D61" i="8"/>
  <c r="D60" i="8"/>
  <c r="D58" i="8"/>
  <c r="D57" i="8"/>
  <c r="D56" i="8"/>
  <c r="D55" i="8"/>
  <c r="D54" i="8"/>
  <c r="D53" i="8"/>
  <c r="D50" i="8"/>
  <c r="D48" i="8"/>
  <c r="D47" i="8"/>
  <c r="D46" i="8"/>
  <c r="D45" i="8"/>
  <c r="D44" i="8"/>
  <c r="D43" i="8"/>
  <c r="D39" i="8"/>
  <c r="D38" i="8"/>
  <c r="E41" i="14" s="1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E28" i="14" s="1"/>
  <c r="D24" i="8"/>
  <c r="D23" i="8"/>
  <c r="D22" i="8"/>
  <c r="D21" i="8"/>
  <c r="D20" i="8"/>
  <c r="D19" i="8"/>
  <c r="D18" i="8"/>
  <c r="D17" i="8"/>
  <c r="E18" i="14" s="1"/>
  <c r="D16" i="8"/>
  <c r="E17" i="14" s="1"/>
  <c r="D15" i="8"/>
  <c r="E16" i="14" s="1"/>
  <c r="D14" i="8"/>
  <c r="E15" i="14" s="1"/>
  <c r="D13" i="8"/>
  <c r="D12" i="8"/>
  <c r="D11" i="8"/>
  <c r="AW59" i="7"/>
  <c r="AV59" i="7"/>
  <c r="AU59" i="7"/>
  <c r="AT59" i="7"/>
  <c r="AS59" i="7"/>
  <c r="AM59" i="7"/>
  <c r="AG59" i="7"/>
  <c r="AF59" i="7"/>
  <c r="AE59" i="7"/>
  <c r="AD59" i="7"/>
  <c r="AC59" i="7"/>
  <c r="W59" i="7"/>
  <c r="Q59" i="7"/>
  <c r="P59" i="7"/>
  <c r="O59" i="7"/>
  <c r="N59" i="7"/>
  <c r="M59" i="7"/>
  <c r="G59" i="7"/>
  <c r="AV52" i="7"/>
  <c r="AU52" i="7"/>
  <c r="AT52" i="7"/>
  <c r="AS52" i="7"/>
  <c r="AR52" i="7"/>
  <c r="AM52" i="7"/>
  <c r="AL52" i="7"/>
  <c r="AF52" i="7"/>
  <c r="AE52" i="7"/>
  <c r="AD52" i="7"/>
  <c r="AC52" i="7"/>
  <c r="AB52" i="7"/>
  <c r="W52" i="7"/>
  <c r="V52" i="7"/>
  <c r="P52" i="7"/>
  <c r="O52" i="7"/>
  <c r="N52" i="7"/>
  <c r="M52" i="7"/>
  <c r="L52" i="7"/>
  <c r="G52" i="7"/>
  <c r="F52" i="7"/>
  <c r="AX50" i="7"/>
  <c r="AW50" i="7"/>
  <c r="AV50" i="7"/>
  <c r="AU50" i="7"/>
  <c r="AT50" i="7"/>
  <c r="AS50" i="7"/>
  <c r="AR50" i="7"/>
  <c r="AQ50" i="7"/>
  <c r="AP50" i="7"/>
  <c r="AO50" i="7"/>
  <c r="AN50" i="7"/>
  <c r="AM50" i="7"/>
  <c r="AL50" i="7"/>
  <c r="AK50" i="7"/>
  <c r="AJ50" i="7"/>
  <c r="AI50" i="7"/>
  <c r="AH50" i="7"/>
  <c r="AG50" i="7"/>
  <c r="AF50" i="7"/>
  <c r="AE50" i="7"/>
  <c r="AD50" i="7"/>
  <c r="AC50" i="7"/>
  <c r="AB50" i="7"/>
  <c r="AA50" i="7"/>
  <c r="Z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AX41" i="7"/>
  <c r="AX52" i="7" s="1"/>
  <c r="AW41" i="7"/>
  <c r="AW52" i="7" s="1"/>
  <c r="AV41" i="7"/>
  <c r="AU41" i="7"/>
  <c r="AT41" i="7"/>
  <c r="AS41" i="7"/>
  <c r="AR41" i="7"/>
  <c r="AR59" i="7" s="1"/>
  <c r="AQ41" i="7"/>
  <c r="AQ52" i="7" s="1"/>
  <c r="AP41" i="7"/>
  <c r="AP59" i="7" s="1"/>
  <c r="AO41" i="7"/>
  <c r="AO52" i="7" s="1"/>
  <c r="AN41" i="7"/>
  <c r="AN59" i="7" s="1"/>
  <c r="AM41" i="7"/>
  <c r="AL41" i="7"/>
  <c r="AL59" i="7" s="1"/>
  <c r="AK41" i="7"/>
  <c r="AK52" i="7" s="1"/>
  <c r="AJ41" i="7"/>
  <c r="AJ52" i="7" s="1"/>
  <c r="AI41" i="7"/>
  <c r="AI52" i="7" s="1"/>
  <c r="AH41" i="7"/>
  <c r="AH52" i="7" s="1"/>
  <c r="AG41" i="7"/>
  <c r="AG52" i="7" s="1"/>
  <c r="AF41" i="7"/>
  <c r="AE41" i="7"/>
  <c r="AD41" i="7"/>
  <c r="AC41" i="7"/>
  <c r="AB41" i="7"/>
  <c r="AB59" i="7" s="1"/>
  <c r="AA41" i="7"/>
  <c r="AA52" i="7" s="1"/>
  <c r="Z41" i="7"/>
  <c r="Z59" i="7" s="1"/>
  <c r="Y41" i="7"/>
  <c r="Y52" i="7" s="1"/>
  <c r="X41" i="7"/>
  <c r="X52" i="7" s="1"/>
  <c r="W41" i="7"/>
  <c r="V41" i="7"/>
  <c r="V59" i="7" s="1"/>
  <c r="U41" i="7"/>
  <c r="U52" i="7" s="1"/>
  <c r="T41" i="7"/>
  <c r="T52" i="7" s="1"/>
  <c r="S41" i="7"/>
  <c r="S52" i="7" s="1"/>
  <c r="R41" i="7"/>
  <c r="R52" i="7" s="1"/>
  <c r="Q41" i="7"/>
  <c r="Q52" i="7" s="1"/>
  <c r="P41" i="7"/>
  <c r="O41" i="7"/>
  <c r="N41" i="7"/>
  <c r="M41" i="7"/>
  <c r="L41" i="7"/>
  <c r="L59" i="7" s="1"/>
  <c r="K41" i="7"/>
  <c r="K52" i="7" s="1"/>
  <c r="J41" i="7"/>
  <c r="J59" i="7" s="1"/>
  <c r="I41" i="7"/>
  <c r="I52" i="7" s="1"/>
  <c r="H41" i="7"/>
  <c r="H59" i="7" s="1"/>
  <c r="G41" i="7"/>
  <c r="F41" i="7"/>
  <c r="F59" i="7" s="1"/>
  <c r="E41" i="7"/>
  <c r="E52" i="7" s="1"/>
  <c r="D41" i="7"/>
  <c r="D52" i="7" s="1"/>
  <c r="D58" i="6"/>
  <c r="D57" i="6"/>
  <c r="D56" i="6"/>
  <c r="D55" i="6"/>
  <c r="D54" i="6"/>
  <c r="D53" i="6"/>
  <c r="D52" i="6"/>
  <c r="D51" i="6"/>
  <c r="D50" i="6"/>
  <c r="D49" i="6"/>
  <c r="D48" i="6"/>
  <c r="D46" i="6"/>
  <c r="D45" i="6"/>
  <c r="D44" i="6"/>
  <c r="D43" i="6"/>
  <c r="D42" i="6"/>
  <c r="D41" i="6"/>
  <c r="D36" i="6"/>
  <c r="D35" i="6"/>
  <c r="D34" i="6"/>
  <c r="D33" i="6"/>
  <c r="D32" i="6"/>
  <c r="D31" i="6"/>
  <c r="D30" i="6"/>
  <c r="E46" i="14" s="1"/>
  <c r="D26" i="6"/>
  <c r="E42" i="14" s="1"/>
  <c r="D25" i="6"/>
  <c r="D24" i="6"/>
  <c r="D23" i="6"/>
  <c r="D22" i="6"/>
  <c r="E33" i="14" s="1"/>
  <c r="D21" i="6"/>
  <c r="D20" i="6"/>
  <c r="D19" i="6"/>
  <c r="D18" i="6"/>
  <c r="E27" i="14" s="1"/>
  <c r="D17" i="6"/>
  <c r="D16" i="6"/>
  <c r="D15" i="6"/>
  <c r="D14" i="6"/>
  <c r="E20" i="14" s="1"/>
  <c r="D13" i="6"/>
  <c r="E19" i="14" s="1"/>
  <c r="D12" i="6"/>
  <c r="I47" i="5"/>
  <c r="F47" i="5"/>
  <c r="E47" i="5"/>
  <c r="F40" i="5"/>
  <c r="D40" i="5"/>
  <c r="I38" i="5"/>
  <c r="H38" i="5"/>
  <c r="G38" i="5"/>
  <c r="F38" i="5"/>
  <c r="E38" i="5"/>
  <c r="E40" i="5" s="1"/>
  <c r="D38" i="5"/>
  <c r="D38" i="6" s="1"/>
  <c r="I28" i="5"/>
  <c r="I40" i="5" s="1"/>
  <c r="H28" i="5"/>
  <c r="H47" i="5" s="1"/>
  <c r="G28" i="5"/>
  <c r="G47" i="5" s="1"/>
  <c r="F28" i="5"/>
  <c r="E28" i="5"/>
  <c r="D28" i="5"/>
  <c r="D47" i="5" s="1"/>
  <c r="D47" i="6" s="1"/>
  <c r="D47" i="4"/>
  <c r="D46" i="4"/>
  <c r="D45" i="4"/>
  <c r="E72" i="14" s="1"/>
  <c r="D44" i="4"/>
  <c r="D43" i="4"/>
  <c r="D42" i="4"/>
  <c r="D41" i="4"/>
  <c r="D40" i="4"/>
  <c r="D39" i="4"/>
  <c r="D38" i="4"/>
  <c r="D37" i="4"/>
  <c r="E64" i="14" s="1"/>
  <c r="D35" i="4"/>
  <c r="D34" i="4"/>
  <c r="D33" i="4"/>
  <c r="D32" i="4"/>
  <c r="D31" i="4"/>
  <c r="D30" i="4"/>
  <c r="D25" i="4"/>
  <c r="D24" i="4"/>
  <c r="D23" i="4"/>
  <c r="D22" i="4"/>
  <c r="D21" i="4"/>
  <c r="D17" i="4"/>
  <c r="D16" i="4"/>
  <c r="D15" i="4"/>
  <c r="D14" i="4"/>
  <c r="D13" i="4"/>
  <c r="D12" i="4"/>
  <c r="D11" i="4"/>
  <c r="F29" i="3"/>
  <c r="E29" i="3"/>
  <c r="D29" i="3"/>
  <c r="D29" i="4" s="1"/>
  <c r="F27" i="3"/>
  <c r="E27" i="3"/>
  <c r="D27" i="4" s="1"/>
  <c r="D27" i="3"/>
  <c r="F19" i="3"/>
  <c r="F36" i="3" s="1"/>
  <c r="E19" i="3"/>
  <c r="E36" i="3" s="1"/>
  <c r="D19" i="3"/>
  <c r="D19" i="4" s="1"/>
  <c r="E54" i="14" l="1"/>
  <c r="D28" i="6"/>
  <c r="J52" i="7"/>
  <c r="Z52" i="7"/>
  <c r="AP52" i="7"/>
  <c r="K59" i="7"/>
  <c r="AA59" i="7"/>
  <c r="AQ59" i="7"/>
  <c r="I42" i="9"/>
  <c r="D42" i="10" s="1"/>
  <c r="J53" i="13"/>
  <c r="D63" i="14" s="1"/>
  <c r="R59" i="7"/>
  <c r="AH59" i="7"/>
  <c r="AX59" i="7"/>
  <c r="G46" i="13"/>
  <c r="D56" i="14" s="1"/>
  <c r="F49" i="9"/>
  <c r="D49" i="10" s="1"/>
  <c r="G40" i="5"/>
  <c r="D40" i="6" s="1"/>
  <c r="S59" i="7"/>
  <c r="AI59" i="7"/>
  <c r="H46" i="13"/>
  <c r="D41" i="8"/>
  <c r="G49" i="9"/>
  <c r="H40" i="5"/>
  <c r="D59" i="7"/>
  <c r="D59" i="8" s="1"/>
  <c r="T59" i="7"/>
  <c r="AJ59" i="7"/>
  <c r="D44" i="14"/>
  <c r="E44" i="14" s="1"/>
  <c r="E59" i="7"/>
  <c r="U59" i="7"/>
  <c r="AK59" i="7"/>
  <c r="D36" i="11"/>
  <c r="D36" i="12" s="1"/>
  <c r="D36" i="3"/>
  <c r="D36" i="4" s="1"/>
  <c r="X59" i="7"/>
  <c r="H52" i="7"/>
  <c r="D52" i="8" s="1"/>
  <c r="AN52" i="7"/>
  <c r="I59" i="7"/>
  <c r="Y59" i="7"/>
  <c r="AO59" i="7"/>
  <c r="E63" i="14" l="1"/>
  <c r="E56" i="14"/>
</calcChain>
</file>

<file path=xl/sharedStrings.xml><?xml version="1.0" encoding="utf-8"?>
<sst xmlns="http://schemas.openxmlformats.org/spreadsheetml/2006/main" count="918" uniqueCount="336">
  <si>
    <t>Moneda: Euro</t>
  </si>
  <si>
    <t>PAGA        TOTAL</t>
  </si>
  <si>
    <t>DEL 01/01/26 AL 31/01/26</t>
  </si>
  <si>
    <t>Empresa:  4008-DSD PLANNING CENTER S.L. NIF: B86563285</t>
  </si>
  <si>
    <t>01 EDUCATION</t>
  </si>
  <si>
    <t>000170</t>
  </si>
  <si>
    <t>000183</t>
  </si>
  <si>
    <t>000222</t>
  </si>
  <si>
    <t>BISCEGLI</t>
  </si>
  <si>
    <t>PETERSEN</t>
  </si>
  <si>
    <t>FILHO</t>
  </si>
  <si>
    <t>HERRERA</t>
  </si>
  <si>
    <t>CARLOS</t>
  </si>
  <si>
    <t>JOHN MICHAEL</t>
  </si>
  <si>
    <t>ERIK STEWARD</t>
  </si>
  <si>
    <t>CONCEPTO</t>
  </si>
  <si>
    <t>Salario Base</t>
  </si>
  <si>
    <t>Mejora Voluntaria</t>
  </si>
  <si>
    <t>Prorrata PP. Extras</t>
  </si>
  <si>
    <t>Teletrabajo</t>
  </si>
  <si>
    <t>Descuento Comida Flex</t>
  </si>
  <si>
    <t>Comida Flex (Exenta)</t>
  </si>
  <si>
    <t>Plus Transporte</t>
  </si>
  <si>
    <t>TOTAL BRUTO</t>
  </si>
  <si>
    <t>Dcto.Conceptos en Especi</t>
  </si>
  <si>
    <t>COTIZACION CONT.COMUNES</t>
  </si>
  <si>
    <t>COTIZACION FORMACION PRO</t>
  </si>
  <si>
    <t>COTIZACION DESEMPLEO</t>
  </si>
  <si>
    <t>TRIBUTACION I.R.P.F.</t>
  </si>
  <si>
    <t>TOTAL DEDUCCIONES</t>
  </si>
  <si>
    <t>TOTAL LIQUIDO</t>
  </si>
  <si>
    <t>PRORRATA PAGAS EXTRAS</t>
  </si>
  <si>
    <t>SEGURIDAD SOCIAL EMPRESA</t>
  </si>
  <si>
    <t>SEGURIDAD SOCIAL TRABAJADOR</t>
  </si>
  <si>
    <t>SEGURIDAD SOCIAL TOTAL</t>
  </si>
  <si>
    <t>COSTE COLAB. VOLUNTARIA</t>
  </si>
  <si>
    <t>APORTAC. SERVICIOS COMUNES</t>
  </si>
  <si>
    <t>COSTE EMPRESA</t>
  </si>
  <si>
    <t>BASE CONTINGENCIAS COMUNES</t>
  </si>
  <si>
    <t>BASE ACCIDENTES</t>
  </si>
  <si>
    <t>BASE I.R.P.F. DINERARIA</t>
  </si>
  <si>
    <t>BASE I.R.P.F. ESPECIES</t>
  </si>
  <si>
    <t>BASE I.R.P.F. IRREGULAR</t>
  </si>
  <si>
    <t>HORAS EXTRAS NORMALES</t>
  </si>
  <si>
    <t>HORAS EXTRAS ESTRUCTURALES</t>
  </si>
  <si>
    <t>HORAS PRESENCIA</t>
  </si>
  <si>
    <t>DIAS DESEMPLEO PARCIAL</t>
  </si>
  <si>
    <t>IMPORTE BONIFICACION</t>
  </si>
  <si>
    <t>DIAS COTIZADOS</t>
  </si>
  <si>
    <t>TOTAL</t>
  </si>
  <si>
    <t>EDUCATION</t>
  </si>
  <si>
    <t>TOTAL TRABAJADORES</t>
  </si>
  <si>
    <t>02 MARKETING</t>
  </si>
  <si>
    <t>000073</t>
  </si>
  <si>
    <t>000085</t>
  </si>
  <si>
    <t>000123</t>
  </si>
  <si>
    <t>000124</t>
  </si>
  <si>
    <t>000199</t>
  </si>
  <si>
    <t>000209</t>
  </si>
  <si>
    <t>MASON</t>
  </si>
  <si>
    <t>CASTELLANOS</t>
  </si>
  <si>
    <t>DE ARBELOA</t>
  </si>
  <si>
    <t>MACDONALD</t>
  </si>
  <si>
    <t>RUBIO</t>
  </si>
  <si>
    <t>SANCHEZ</t>
  </si>
  <si>
    <t>DAISY</t>
  </si>
  <si>
    <t>WEIDLICH</t>
  </si>
  <si>
    <t>RACHADELL</t>
  </si>
  <si>
    <t>MARITA</t>
  </si>
  <si>
    <t>OLIVEROS</t>
  </si>
  <si>
    <t>GARCIA</t>
  </si>
  <si>
    <t>CATERINA</t>
  </si>
  <si>
    <t>LUKEN</t>
  </si>
  <si>
    <t>GISSEL PAOLA</t>
  </si>
  <si>
    <t>MARIO</t>
  </si>
  <si>
    <t>Plus Cumplimiento Objeti</t>
  </si>
  <si>
    <t>Descuento Transp Flex</t>
  </si>
  <si>
    <t>Vehículo Empresa</t>
  </si>
  <si>
    <t>Comida B. Social  (Exent</t>
  </si>
  <si>
    <t>Transporte Flex (Exento)</t>
  </si>
  <si>
    <t>Transporte B.S (Exento)</t>
  </si>
  <si>
    <t>Seguro Médico B.S.(Exent</t>
  </si>
  <si>
    <t>Seguro Médico B.S. (No E</t>
  </si>
  <si>
    <t>Imp.Ingr. a Cta. Esp. Cg</t>
  </si>
  <si>
    <t>Anticipo Paternidad</t>
  </si>
  <si>
    <t>Imp.Ingr.a Cta.Valores E</t>
  </si>
  <si>
    <t>MARKETING</t>
  </si>
  <si>
    <t>03 PLANNING CENTER</t>
  </si>
  <si>
    <t>000016</t>
  </si>
  <si>
    <t>000021</t>
  </si>
  <si>
    <t>000022</t>
  </si>
  <si>
    <t>000024</t>
  </si>
  <si>
    <t>000027</t>
  </si>
  <si>
    <t>000028</t>
  </si>
  <si>
    <t>000039</t>
  </si>
  <si>
    <t>000044</t>
  </si>
  <si>
    <t>000055</t>
  </si>
  <si>
    <t>000065</t>
  </si>
  <si>
    <t>000067</t>
  </si>
  <si>
    <t>000068</t>
  </si>
  <si>
    <t>000094</t>
  </si>
  <si>
    <t>000095</t>
  </si>
  <si>
    <t>000097</t>
  </si>
  <si>
    <t>000114</t>
  </si>
  <si>
    <t>000125</t>
  </si>
  <si>
    <t>000131</t>
  </si>
  <si>
    <t>000132</t>
  </si>
  <si>
    <t>000133</t>
  </si>
  <si>
    <t>000134</t>
  </si>
  <si>
    <t>000136</t>
  </si>
  <si>
    <t>000145</t>
  </si>
  <si>
    <t>000147</t>
  </si>
  <si>
    <t>000152</t>
  </si>
  <si>
    <t>000155</t>
  </si>
  <si>
    <t>000156</t>
  </si>
  <si>
    <t>000165</t>
  </si>
  <si>
    <t>000166</t>
  </si>
  <si>
    <t>000168</t>
  </si>
  <si>
    <t>000174</t>
  </si>
  <si>
    <t>000176</t>
  </si>
  <si>
    <t>000177</t>
  </si>
  <si>
    <t>000184</t>
  </si>
  <si>
    <t>000189</t>
  </si>
  <si>
    <t>000190</t>
  </si>
  <si>
    <t>000194</t>
  </si>
  <si>
    <t>000202</t>
  </si>
  <si>
    <t>000204</t>
  </si>
  <si>
    <t>000208</t>
  </si>
  <si>
    <t>000210</t>
  </si>
  <si>
    <t>000211</t>
  </si>
  <si>
    <t>000212</t>
  </si>
  <si>
    <t>000214</t>
  </si>
  <si>
    <t>000218</t>
  </si>
  <si>
    <t>000223</t>
  </si>
  <si>
    <t>000227</t>
  </si>
  <si>
    <t>LABANDERA</t>
  </si>
  <si>
    <t>PADILLA</t>
  </si>
  <si>
    <t>JIMENEZ</t>
  </si>
  <si>
    <t>COIRAZZA</t>
  </si>
  <si>
    <t>AMARANTE</t>
  </si>
  <si>
    <t>GOMEZ</t>
  </si>
  <si>
    <t>PICON</t>
  </si>
  <si>
    <t>DOS</t>
  </si>
  <si>
    <t>RAMOS</t>
  </si>
  <si>
    <t>MOLINA</t>
  </si>
  <si>
    <t>CAÑIZARES</t>
  </si>
  <si>
    <t>PERAZA</t>
  </si>
  <si>
    <t>HERNANDEZ</t>
  </si>
  <si>
    <t>LOPEZ</t>
  </si>
  <si>
    <t>FERNANDES</t>
  </si>
  <si>
    <t>PINTO</t>
  </si>
  <si>
    <t>BRETON</t>
  </si>
  <si>
    <t>MASTROMATTEO</t>
  </si>
  <si>
    <t>DALE</t>
  </si>
  <si>
    <t>QUINTANA</t>
  </si>
  <si>
    <t>MOLERO</t>
  </si>
  <si>
    <t>ZABLOTZKY</t>
  </si>
  <si>
    <t>HARTE</t>
  </si>
  <si>
    <t>GUTIERREZ</t>
  </si>
  <si>
    <t>OPALINSKI</t>
  </si>
  <si>
    <t>WATZKO</t>
  </si>
  <si>
    <t>SERRANO</t>
  </si>
  <si>
    <t>LOZANO</t>
  </si>
  <si>
    <t>GONZALEZ</t>
  </si>
  <si>
    <t>KUTT</t>
  </si>
  <si>
    <t>NKOGO</t>
  </si>
  <si>
    <t>PRIETO</t>
  </si>
  <si>
    <t>CARRERA</t>
  </si>
  <si>
    <t>LEIVA</t>
  </si>
  <si>
    <t>MARIN</t>
  </si>
  <si>
    <t>CASTRILLON</t>
  </si>
  <si>
    <t>LIRIANO</t>
  </si>
  <si>
    <t>TOMA</t>
  </si>
  <si>
    <t>MATTHEWS</t>
  </si>
  <si>
    <t>VASQUEZ</t>
  </si>
  <si>
    <t>BASTIDAS</t>
  </si>
  <si>
    <t>CALEYA</t>
  </si>
  <si>
    <t>FAJARDO</t>
  </si>
  <si>
    <t>CALI</t>
  </si>
  <si>
    <t>SALAZAR</t>
  </si>
  <si>
    <t>LAURA-ELISA</t>
  </si>
  <si>
    <t>COACHMAN</t>
  </si>
  <si>
    <t>PULIDO</t>
  </si>
  <si>
    <t>CALZADA</t>
  </si>
  <si>
    <t>AREVALO</t>
  </si>
  <si>
    <t>MUÑOZ</t>
  </si>
  <si>
    <t>SORIANO</t>
  </si>
  <si>
    <t>LABRADOR</t>
  </si>
  <si>
    <t>DIAZ</t>
  </si>
  <si>
    <t>SAN JUAN</t>
  </si>
  <si>
    <t>ABREU</t>
  </si>
  <si>
    <t>PEREZ</t>
  </si>
  <si>
    <t>MANAURE</t>
  </si>
  <si>
    <t>PARRA</t>
  </si>
  <si>
    <t>GODOY</t>
  </si>
  <si>
    <t>DONAIRE</t>
  </si>
  <si>
    <t>JOSE</t>
  </si>
  <si>
    <t>LUISINA</t>
  </si>
  <si>
    <t>LOURDES</t>
  </si>
  <si>
    <t>SILVA</t>
  </si>
  <si>
    <t>RAUCHMAN</t>
  </si>
  <si>
    <t>DE MELO</t>
  </si>
  <si>
    <t>MAJANO</t>
  </si>
  <si>
    <t>ARCE</t>
  </si>
  <si>
    <t>BAUTISTA</t>
  </si>
  <si>
    <t>SANTOS</t>
  </si>
  <si>
    <t>NCHAMA</t>
  </si>
  <si>
    <t>LAVELLI</t>
  </si>
  <si>
    <t>MARTINEZ</t>
  </si>
  <si>
    <t>RODRIGUEZ</t>
  </si>
  <si>
    <t>SEBASTIAN</t>
  </si>
  <si>
    <t>RUIZ</t>
  </si>
  <si>
    <t>ANA</t>
  </si>
  <si>
    <t>DANIELLE</t>
  </si>
  <si>
    <t>VERGARA</t>
  </si>
  <si>
    <t>YAGUANA</t>
  </si>
  <si>
    <t>ANGEL-LUIS</t>
  </si>
  <si>
    <t>LORENA-CRIST</t>
  </si>
  <si>
    <t>VERONICA</t>
  </si>
  <si>
    <t>EDORTA</t>
  </si>
  <si>
    <t>JOHN WILLIAM</t>
  </si>
  <si>
    <t>MANUEL</t>
  </si>
  <si>
    <t>PAULA</t>
  </si>
  <si>
    <t>KATHY CAROLI</t>
  </si>
  <si>
    <t>JESUS MARIA</t>
  </si>
  <si>
    <t>DAVID</t>
  </si>
  <si>
    <t>PATRICIA</t>
  </si>
  <si>
    <t>EDUARDO-JOSE</t>
  </si>
  <si>
    <t>MARIANA-RAQU</t>
  </si>
  <si>
    <t>ELISABET</t>
  </si>
  <si>
    <t>MERY HELEN</t>
  </si>
  <si>
    <t>DANIEL SOUZA</t>
  </si>
  <si>
    <t>JOANNY SCARL</t>
  </si>
  <si>
    <t>MARIA FERNAN</t>
  </si>
  <si>
    <t>FABIANA DEL</t>
  </si>
  <si>
    <t>ORIANA ISABE</t>
  </si>
  <si>
    <t>VICTOR</t>
  </si>
  <si>
    <t>ESTEBAN</t>
  </si>
  <si>
    <t>ARIANNA</t>
  </si>
  <si>
    <t>MARIEL</t>
  </si>
  <si>
    <t>MARIA BRIGID</t>
  </si>
  <si>
    <t>VICTORIA EUG</t>
  </si>
  <si>
    <t>ALEJANDRA</t>
  </si>
  <si>
    <t>CAROLINA</t>
  </si>
  <si>
    <t>RICARDO ALFR</t>
  </si>
  <si>
    <t>STEPHANY</t>
  </si>
  <si>
    <t>IVAN</t>
  </si>
  <si>
    <t>LEILI</t>
  </si>
  <si>
    <t>JOSE DANIEL</t>
  </si>
  <si>
    <t>MARIANNA</t>
  </si>
  <si>
    <t>DANIEL</t>
  </si>
  <si>
    <t>RICHARD EDWI</t>
  </si>
  <si>
    <t>DONATO CRIST</t>
  </si>
  <si>
    <t>ROBERTO ALEJ</t>
  </si>
  <si>
    <t>NORA</t>
  </si>
  <si>
    <t>AMANDA</t>
  </si>
  <si>
    <t>DIANNY ANDRE</t>
  </si>
  <si>
    <t>MARIA</t>
  </si>
  <si>
    <t>ANITA</t>
  </si>
  <si>
    <t>ROBERTO JR</t>
  </si>
  <si>
    <t>MARIA JOSE</t>
  </si>
  <si>
    <t>Plus Actividad</t>
  </si>
  <si>
    <t>Complemento Especialidad</t>
  </si>
  <si>
    <t>Plus Nocturnidad</t>
  </si>
  <si>
    <t>Complemento de puesto te</t>
  </si>
  <si>
    <t>Complemento Puesto</t>
  </si>
  <si>
    <t>Descuento Guard Flex</t>
  </si>
  <si>
    <t>Descuento Seg Medico Fle</t>
  </si>
  <si>
    <t>Descuento Formacion Flex</t>
  </si>
  <si>
    <t>Formación Flex (exento)</t>
  </si>
  <si>
    <t>Guarderia Flex (Exento)</t>
  </si>
  <si>
    <t>Seguro Salud Flex (Exent</t>
  </si>
  <si>
    <t>Seguro Salud Flex (No Ex</t>
  </si>
  <si>
    <t>Descuento Seg flex (No e</t>
  </si>
  <si>
    <t>Enfermedad</t>
  </si>
  <si>
    <t>PLANNING CENTER</t>
  </si>
  <si>
    <t>04 CORPORATE FUNCTIONS</t>
  </si>
  <si>
    <t>000019</t>
  </si>
  <si>
    <t>000042</t>
  </si>
  <si>
    <t>000069</t>
  </si>
  <si>
    <t>000100</t>
  </si>
  <si>
    <t>000162</t>
  </si>
  <si>
    <t>000200</t>
  </si>
  <si>
    <t>GOUVEA</t>
  </si>
  <si>
    <t>EVANGELISTA</t>
  </si>
  <si>
    <t>CALLE</t>
  </si>
  <si>
    <t>SOLLA</t>
  </si>
  <si>
    <t>ALMELA</t>
  </si>
  <si>
    <t>AGRA</t>
  </si>
  <si>
    <t>VALERIA</t>
  </si>
  <si>
    <t>CUESTA</t>
  </si>
  <si>
    <t>BRENDON</t>
  </si>
  <si>
    <t>SOFIA</t>
  </si>
  <si>
    <t>FERNANDO</t>
  </si>
  <si>
    <t>LORENA</t>
  </si>
  <si>
    <t>IRMA</t>
  </si>
  <si>
    <t>CARLOTA</t>
  </si>
  <si>
    <t>CORPORATE FUNCTIONS</t>
  </si>
  <si>
    <t>05 DELIGHT ROW</t>
  </si>
  <si>
    <t>000011</t>
  </si>
  <si>
    <t>000158</t>
  </si>
  <si>
    <t>CABALLERO</t>
  </si>
  <si>
    <t>KURKA</t>
  </si>
  <si>
    <t>ESCOBAR</t>
  </si>
  <si>
    <t>BALTA</t>
  </si>
  <si>
    <t>CARMEN</t>
  </si>
  <si>
    <t>MARIA ELENA</t>
  </si>
  <si>
    <t>DELIGHT ROW</t>
  </si>
  <si>
    <t>07 LAB</t>
  </si>
  <si>
    <t>000086</t>
  </si>
  <si>
    <t>000109</t>
  </si>
  <si>
    <t>000169</t>
  </si>
  <si>
    <t>000172</t>
  </si>
  <si>
    <t>000198</t>
  </si>
  <si>
    <t>000213</t>
  </si>
  <si>
    <t>000216</t>
  </si>
  <si>
    <t>DE PABLOS</t>
  </si>
  <si>
    <t>TOSTE</t>
  </si>
  <si>
    <t>COIMBRA</t>
  </si>
  <si>
    <t>ANTELO</t>
  </si>
  <si>
    <t>ODYNTSOVA</t>
  </si>
  <si>
    <t>MOYA</t>
  </si>
  <si>
    <t>COELHO</t>
  </si>
  <si>
    <t>SANDRA</t>
  </si>
  <si>
    <t>GIL</t>
  </si>
  <si>
    <t>ANNA</t>
  </si>
  <si>
    <t>JOSE MARIA</t>
  </si>
  <si>
    <t>ESTHER</t>
  </si>
  <si>
    <t>CARLOS ENRIQ</t>
  </si>
  <si>
    <t>SEGUNDO ANGE</t>
  </si>
  <si>
    <t>ISAAK PRATES</t>
  </si>
  <si>
    <t>ALBERTO</t>
  </si>
  <si>
    <t>Plus Puntualidad</t>
  </si>
  <si>
    <t>Complemento Protesico</t>
  </si>
  <si>
    <t>LAB</t>
  </si>
  <si>
    <t>DSD PLANNING CENTER S.L.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</si>
</sst>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,###;\-#,###,###;"/>
    <numFmt numFmtId="165" formatCode="#,###,##0.00;\-#,###,##0.00;"/>
  </numFmts>
  <fonts count="3" x14ac:knownFonts="1"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3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8" xfId="0" applyFont="1" applyBorder="1"/>
    <xf numFmtId="164" fontId="1" fillId="0" borderId="3" xfId="0" applyNumberFormat="1" applyFont="1" applyBorder="1"/>
    <xf numFmtId="164" fontId="1" fillId="0" borderId="8" xfId="0" applyNumberFormat="1" applyFont="1" applyBorder="1"/>
    <xf numFmtId="165" fontId="1" fillId="0" borderId="8" xfId="0" applyNumberFormat="1" applyFont="1" applyBorder="1"/>
    <xf numFmtId="165" fontId="1" fillId="0" borderId="6" xfId="0" applyNumberFormat="1" applyFont="1" applyBorder="1"/>
    <xf numFmtId="0" fontId="2" fillId="0" borderId="9" xfId="0" quotePrefix="1" applyFont="1" applyBorder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10" xfId="0" quotePrefix="1" applyFont="1" applyBorder="1" applyAlignment="1">
      <alignment horizontal="left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164" fontId="1" fillId="0" borderId="11" xfId="0" applyNumberFormat="1" applyFont="1" applyBorder="1"/>
    <xf numFmtId="164" fontId="1" fillId="0" borderId="12" xfId="0" applyNumberFormat="1" applyFont="1" applyBorder="1"/>
    <xf numFmtId="165" fontId="1" fillId="0" borderId="12" xfId="0" applyNumberFormat="1" applyFont="1" applyBorder="1"/>
    <xf numFmtId="165" fontId="1" fillId="0" borderId="13" xfId="0" applyNumberFormat="1" applyFont="1" applyBorder="1"/>
    <xf numFmtId="0" fontId="2" fillId="0" borderId="14" xfId="0" quotePrefix="1" applyFont="1" applyBorder="1" applyAlignment="1">
      <alignment horizontal="left"/>
    </xf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164" fontId="1" fillId="0" borderId="15" xfId="0" applyNumberFormat="1" applyFont="1" applyBorder="1"/>
    <xf numFmtId="164" fontId="1" fillId="0" borderId="16" xfId="0" applyNumberFormat="1" applyFont="1" applyBorder="1"/>
    <xf numFmtId="165" fontId="1" fillId="0" borderId="16" xfId="0" applyNumberFormat="1" applyFont="1" applyBorder="1"/>
    <xf numFmtId="165" fontId="1" fillId="0" borderId="17" xfId="0" applyNumberFormat="1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18" xfId="0" applyNumberFormat="1" applyFont="1" applyBorder="1"/>
    <xf numFmtId="164" fontId="1" fillId="0" borderId="19" xfId="0" applyNumberFormat="1" applyFont="1" applyBorder="1"/>
    <xf numFmtId="165" fontId="1" fillId="0" borderId="19" xfId="0" applyNumberFormat="1" applyFont="1" applyBorder="1"/>
    <xf numFmtId="164" fontId="1" fillId="0" borderId="20" xfId="0" applyNumberFormat="1" applyFont="1" applyBorder="1"/>
    <xf numFmtId="0" fontId="2" fillId="0" borderId="21" xfId="0" quotePrefix="1" applyFont="1" applyBorder="1" applyAlignment="1">
      <alignment horizontal="left"/>
    </xf>
    <xf numFmtId="164" fontId="1" fillId="0" borderId="6" xfId="0" applyNumberFormat="1" applyFont="1" applyBorder="1"/>
    <xf numFmtId="164" fontId="1" fillId="0" borderId="1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BC6BC-E33B-4CA9-8999-267CA742FE7E}">
  <sheetPr>
    <pageSetUpPr fitToPage="1"/>
  </sheetPr>
  <dimension ref="A1:F47"/>
  <sheetViews>
    <sheetView tabSelected="1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baseColWidth="10" defaultColWidth="8.7265625" defaultRowHeight="12" customHeight="1" x14ac:dyDescent="0.35"/>
  <cols>
    <col min="1" max="1" width="1.7265625" customWidth="1"/>
    <col min="2" max="2" width="4.7265625" customWidth="1"/>
    <col min="3" max="3" width="56.7265625" customWidth="1"/>
    <col min="4" max="6" width="12.7265625" customWidth="1"/>
  </cols>
  <sheetData>
    <row r="1" spans="1:6" ht="12" customHeight="1" x14ac:dyDescent="0.35">
      <c r="A1" s="1"/>
      <c r="B1" s="2"/>
      <c r="C1" s="2"/>
    </row>
    <row r="2" spans="1:6" ht="12" customHeight="1" x14ac:dyDescent="0.35">
      <c r="A2" s="1" t="s">
        <v>0</v>
      </c>
      <c r="B2" s="2"/>
      <c r="C2" s="2"/>
      <c r="D2" t="s">
        <v>4</v>
      </c>
    </row>
    <row r="3" spans="1:6" ht="12" customHeight="1" thickBot="1" x14ac:dyDescent="0.4">
      <c r="A3" s="1" t="s">
        <v>1</v>
      </c>
      <c r="B3" s="2"/>
      <c r="C3" s="2"/>
    </row>
    <row r="4" spans="1:6" ht="13" customHeight="1" thickTop="1" thickBot="1" x14ac:dyDescent="0.4">
      <c r="A4" s="1" t="s">
        <v>2</v>
      </c>
      <c r="B4" s="2"/>
      <c r="C4" s="6"/>
      <c r="D4" s="20" t="s">
        <v>5</v>
      </c>
      <c r="E4" s="28" t="s">
        <v>6</v>
      </c>
      <c r="F4" s="11" t="s">
        <v>7</v>
      </c>
    </row>
    <row r="5" spans="1:6" ht="12" customHeight="1" thickTop="1" x14ac:dyDescent="0.35">
      <c r="A5" s="1" t="s">
        <v>3</v>
      </c>
      <c r="B5" s="2"/>
      <c r="C5" s="6"/>
      <c r="D5" s="21" t="s">
        <v>8</v>
      </c>
      <c r="E5" s="29" t="s">
        <v>9</v>
      </c>
      <c r="F5" s="3" t="s">
        <v>9</v>
      </c>
    </row>
    <row r="6" spans="1:6" ht="12" customHeight="1" x14ac:dyDescent="0.35">
      <c r="A6" s="1"/>
      <c r="B6" s="2"/>
      <c r="C6" s="6"/>
      <c r="D6" s="22" t="s">
        <v>10</v>
      </c>
      <c r="E6" s="30" t="s">
        <v>11</v>
      </c>
      <c r="F6" s="6" t="s">
        <v>11</v>
      </c>
    </row>
    <row r="7" spans="1:6" ht="12" customHeight="1" thickBot="1" x14ac:dyDescent="0.4">
      <c r="A7" s="18"/>
      <c r="B7" s="4"/>
      <c r="C7" s="5"/>
      <c r="D7" s="23" t="s">
        <v>12</v>
      </c>
      <c r="E7" s="31" t="s">
        <v>13</v>
      </c>
      <c r="F7" s="5" t="s">
        <v>14</v>
      </c>
    </row>
    <row r="8" spans="1:6" ht="12" customHeight="1" thickTop="1" x14ac:dyDescent="0.35">
      <c r="A8" s="12"/>
      <c r="B8" s="13"/>
      <c r="C8" s="14"/>
      <c r="D8" s="24"/>
      <c r="E8" s="32"/>
      <c r="F8" s="7"/>
    </row>
    <row r="9" spans="1:6" ht="12" customHeight="1" x14ac:dyDescent="0.35">
      <c r="A9" s="15" t="s">
        <v>15</v>
      </c>
      <c r="B9" s="1"/>
      <c r="C9" s="16"/>
      <c r="D9" s="25"/>
      <c r="E9" s="33"/>
      <c r="F9" s="8"/>
    </row>
    <row r="10" spans="1:6" ht="12" customHeight="1" x14ac:dyDescent="0.35">
      <c r="A10" s="15"/>
      <c r="B10" s="1"/>
      <c r="C10" s="16"/>
      <c r="D10" s="25"/>
      <c r="E10" s="33"/>
      <c r="F10" s="8"/>
    </row>
    <row r="11" spans="1:6" ht="12" customHeight="1" x14ac:dyDescent="0.35">
      <c r="A11" s="15"/>
      <c r="B11" s="1">
        <v>1</v>
      </c>
      <c r="C11" s="16" t="s">
        <v>16</v>
      </c>
      <c r="D11" s="26">
        <v>4000</v>
      </c>
      <c r="E11" s="34">
        <v>1215.24</v>
      </c>
      <c r="F11" s="9">
        <v>1215.24</v>
      </c>
    </row>
    <row r="12" spans="1:6" ht="12" customHeight="1" x14ac:dyDescent="0.35">
      <c r="A12" s="15"/>
      <c r="B12" s="1">
        <v>3</v>
      </c>
      <c r="C12" s="16" t="s">
        <v>17</v>
      </c>
      <c r="D12" s="26">
        <v>1028.9000000000001</v>
      </c>
      <c r="E12" s="34">
        <v>777.79</v>
      </c>
      <c r="F12" s="9">
        <v>444.46</v>
      </c>
    </row>
    <row r="13" spans="1:6" ht="12" customHeight="1" x14ac:dyDescent="0.35">
      <c r="A13" s="15"/>
      <c r="B13" s="1">
        <v>123</v>
      </c>
      <c r="C13" s="16" t="s">
        <v>18</v>
      </c>
      <c r="D13" s="26">
        <v>666.66</v>
      </c>
      <c r="E13" s="34">
        <v>202.54</v>
      </c>
      <c r="F13" s="9">
        <v>202.54</v>
      </c>
    </row>
    <row r="14" spans="1:6" ht="12" customHeight="1" x14ac:dyDescent="0.35">
      <c r="A14" s="15"/>
      <c r="B14" s="1">
        <v>275</v>
      </c>
      <c r="C14" s="16" t="s">
        <v>19</v>
      </c>
      <c r="D14" s="26">
        <v>15</v>
      </c>
      <c r="E14" s="34">
        <v>15</v>
      </c>
      <c r="F14" s="9">
        <v>15</v>
      </c>
    </row>
    <row r="15" spans="1:6" ht="12" customHeight="1" x14ac:dyDescent="0.35">
      <c r="A15" s="15"/>
      <c r="B15" s="1">
        <v>276</v>
      </c>
      <c r="C15" s="16" t="s">
        <v>20</v>
      </c>
      <c r="D15" s="26"/>
      <c r="E15" s="34">
        <v>-54.16</v>
      </c>
      <c r="F15" s="9"/>
    </row>
    <row r="16" spans="1:6" ht="12" customHeight="1" x14ac:dyDescent="0.35">
      <c r="A16" s="15"/>
      <c r="B16" s="1">
        <v>337</v>
      </c>
      <c r="C16" s="16" t="s">
        <v>21</v>
      </c>
      <c r="D16" s="26"/>
      <c r="E16" s="34">
        <v>54.16</v>
      </c>
      <c r="F16" s="9"/>
    </row>
    <row r="17" spans="1:6" ht="12" customHeight="1" x14ac:dyDescent="0.35">
      <c r="A17" s="15"/>
      <c r="B17" s="1">
        <v>398</v>
      </c>
      <c r="C17" s="16" t="s">
        <v>22</v>
      </c>
      <c r="D17" s="26">
        <v>137.76</v>
      </c>
      <c r="E17" s="34">
        <v>137.76</v>
      </c>
      <c r="F17" s="9">
        <v>137.76</v>
      </c>
    </row>
    <row r="18" spans="1:6" ht="12" customHeight="1" x14ac:dyDescent="0.35">
      <c r="A18" s="15"/>
      <c r="B18" s="1"/>
      <c r="C18" s="16"/>
      <c r="D18" s="25"/>
      <c r="E18" s="33"/>
      <c r="F18" s="8"/>
    </row>
    <row r="19" spans="1:6" ht="12" customHeight="1" x14ac:dyDescent="0.35">
      <c r="A19" s="15" t="s">
        <v>23</v>
      </c>
      <c r="B19" s="1"/>
      <c r="C19" s="16"/>
      <c r="D19" s="26">
        <f>SUM(D11:D18)</f>
        <v>5848.32</v>
      </c>
      <c r="E19" s="34">
        <f>SUM(E11:E18)</f>
        <v>2348.33</v>
      </c>
      <c r="F19" s="9">
        <f>SUM(F11:F18)</f>
        <v>2015</v>
      </c>
    </row>
    <row r="20" spans="1:6" ht="12" customHeight="1" x14ac:dyDescent="0.35">
      <c r="A20" s="15"/>
      <c r="B20" s="1"/>
      <c r="C20" s="16"/>
      <c r="D20" s="25"/>
      <c r="E20" s="33"/>
      <c r="F20" s="8"/>
    </row>
    <row r="21" spans="1:6" ht="12" customHeight="1" x14ac:dyDescent="0.35">
      <c r="A21" s="15"/>
      <c r="B21" s="1">
        <v>789</v>
      </c>
      <c r="C21" s="16" t="s">
        <v>24</v>
      </c>
      <c r="D21" s="26"/>
      <c r="E21" s="34">
        <v>54.16</v>
      </c>
      <c r="F21" s="9"/>
    </row>
    <row r="22" spans="1:6" ht="12" customHeight="1" x14ac:dyDescent="0.35">
      <c r="A22" s="15"/>
      <c r="B22" s="1">
        <v>995</v>
      </c>
      <c r="C22" s="16" t="s">
        <v>25</v>
      </c>
      <c r="D22" s="26">
        <v>248.88</v>
      </c>
      <c r="E22" s="34">
        <v>113.89</v>
      </c>
      <c r="F22" s="9">
        <v>97.73</v>
      </c>
    </row>
    <row r="23" spans="1:6" ht="12" customHeight="1" x14ac:dyDescent="0.35">
      <c r="A23" s="15"/>
      <c r="B23" s="1">
        <v>996</v>
      </c>
      <c r="C23" s="16" t="s">
        <v>26</v>
      </c>
      <c r="D23" s="26">
        <v>5.0999999999999996</v>
      </c>
      <c r="E23" s="34">
        <v>2.35</v>
      </c>
      <c r="F23" s="9">
        <v>2.02</v>
      </c>
    </row>
    <row r="24" spans="1:6" ht="12" customHeight="1" x14ac:dyDescent="0.35">
      <c r="A24" s="15"/>
      <c r="B24" s="1">
        <v>997</v>
      </c>
      <c r="C24" s="16" t="s">
        <v>27</v>
      </c>
      <c r="D24" s="26">
        <v>79.069999999999993</v>
      </c>
      <c r="E24" s="34">
        <v>36.4</v>
      </c>
      <c r="F24" s="9">
        <v>31.23</v>
      </c>
    </row>
    <row r="25" spans="1:6" ht="12" customHeight="1" x14ac:dyDescent="0.35">
      <c r="A25" s="15"/>
      <c r="B25" s="1">
        <v>999</v>
      </c>
      <c r="C25" s="16" t="s">
        <v>28</v>
      </c>
      <c r="D25" s="26">
        <v>1574.95</v>
      </c>
      <c r="E25" s="34">
        <v>359.5</v>
      </c>
      <c r="F25" s="9">
        <v>275.05</v>
      </c>
    </row>
    <row r="26" spans="1:6" ht="12" customHeight="1" x14ac:dyDescent="0.35">
      <c r="A26" s="15"/>
      <c r="B26" s="1"/>
      <c r="C26" s="16"/>
      <c r="D26" s="25"/>
      <c r="E26" s="33"/>
      <c r="F26" s="8"/>
    </row>
    <row r="27" spans="1:6" ht="12" customHeight="1" x14ac:dyDescent="0.35">
      <c r="A27" s="15" t="s">
        <v>29</v>
      </c>
      <c r="B27" s="1"/>
      <c r="C27" s="16"/>
      <c r="D27" s="26">
        <f>SUM(D20:D26)</f>
        <v>1908</v>
      </c>
      <c r="E27" s="34">
        <f>SUM(E20:E26)</f>
        <v>566.29999999999995</v>
      </c>
      <c r="F27" s="9">
        <f>SUM(F20:F26)</f>
        <v>406.03</v>
      </c>
    </row>
    <row r="28" spans="1:6" ht="12" customHeight="1" x14ac:dyDescent="0.35">
      <c r="A28" s="15"/>
      <c r="B28" s="1"/>
      <c r="C28" s="16"/>
      <c r="D28" s="25"/>
      <c r="E28" s="33"/>
      <c r="F28" s="8"/>
    </row>
    <row r="29" spans="1:6" ht="12" customHeight="1" x14ac:dyDescent="0.35">
      <c r="A29" s="15" t="s">
        <v>30</v>
      </c>
      <c r="B29" s="1"/>
      <c r="C29" s="16"/>
      <c r="D29" s="26">
        <f>(D19-D27)</f>
        <v>3940.3199999999997</v>
      </c>
      <c r="E29" s="34">
        <f>(E19-E27)</f>
        <v>1782.03</v>
      </c>
      <c r="F29" s="9">
        <f>(F19-F27)</f>
        <v>1608.97</v>
      </c>
    </row>
    <row r="30" spans="1:6" ht="12" customHeight="1" x14ac:dyDescent="0.35">
      <c r="A30" s="15" t="s">
        <v>31</v>
      </c>
      <c r="B30" s="1"/>
      <c r="C30" s="16"/>
      <c r="D30" s="26">
        <v>0</v>
      </c>
      <c r="E30" s="34">
        <v>0</v>
      </c>
      <c r="F30" s="9">
        <v>0</v>
      </c>
    </row>
    <row r="31" spans="1:6" ht="12" customHeight="1" x14ac:dyDescent="0.35">
      <c r="A31" s="15" t="s">
        <v>32</v>
      </c>
      <c r="B31" s="1"/>
      <c r="C31" s="16"/>
      <c r="D31" s="26">
        <v>1647.39</v>
      </c>
      <c r="E31" s="34">
        <v>755</v>
      </c>
      <c r="F31" s="9">
        <v>647.84</v>
      </c>
    </row>
    <row r="32" spans="1:6" ht="12" customHeight="1" x14ac:dyDescent="0.35">
      <c r="A32" s="15" t="s">
        <v>33</v>
      </c>
      <c r="B32" s="1"/>
      <c r="C32" s="16"/>
      <c r="D32" s="26">
        <v>333.05</v>
      </c>
      <c r="E32" s="34">
        <v>152.63999999999999</v>
      </c>
      <c r="F32" s="9">
        <v>130.97999999999999</v>
      </c>
    </row>
    <row r="33" spans="1:6" ht="12" customHeight="1" x14ac:dyDescent="0.35">
      <c r="A33" s="15" t="s">
        <v>34</v>
      </c>
      <c r="B33" s="1"/>
      <c r="C33" s="16"/>
      <c r="D33" s="26">
        <v>1980.44</v>
      </c>
      <c r="E33" s="34">
        <v>907.64</v>
      </c>
      <c r="F33" s="9">
        <v>778.82</v>
      </c>
    </row>
    <row r="34" spans="1:6" ht="12" customHeight="1" x14ac:dyDescent="0.35">
      <c r="A34" s="15" t="s">
        <v>35</v>
      </c>
      <c r="B34" s="1"/>
      <c r="C34" s="16"/>
      <c r="D34" s="26">
        <v>0</v>
      </c>
      <c r="E34" s="34">
        <v>0</v>
      </c>
      <c r="F34" s="9">
        <v>0</v>
      </c>
    </row>
    <row r="35" spans="1:6" ht="12" customHeight="1" x14ac:dyDescent="0.35">
      <c r="A35" s="15" t="s">
        <v>36</v>
      </c>
      <c r="B35" s="1"/>
      <c r="C35" s="16"/>
      <c r="D35" s="26">
        <v>0</v>
      </c>
      <c r="E35" s="34">
        <v>0</v>
      </c>
      <c r="F35" s="9">
        <v>0</v>
      </c>
    </row>
    <row r="36" spans="1:6" ht="12" customHeight="1" x14ac:dyDescent="0.35">
      <c r="A36" s="15" t="s">
        <v>37</v>
      </c>
      <c r="B36" s="1"/>
      <c r="C36" s="16"/>
      <c r="D36" s="26">
        <f>D19+D31</f>
        <v>7495.71</v>
      </c>
      <c r="E36" s="34">
        <f>E19+E31</f>
        <v>3103.33</v>
      </c>
      <c r="F36" s="9">
        <f>F19+F31</f>
        <v>2662.84</v>
      </c>
    </row>
    <row r="37" spans="1:6" ht="12" customHeight="1" x14ac:dyDescent="0.35">
      <c r="A37" s="15" t="s">
        <v>38</v>
      </c>
      <c r="B37" s="1"/>
      <c r="C37" s="16"/>
      <c r="D37" s="26">
        <v>5101.2</v>
      </c>
      <c r="E37" s="34">
        <v>2348.33</v>
      </c>
      <c r="F37" s="9">
        <v>2015</v>
      </c>
    </row>
    <row r="38" spans="1:6" ht="12" customHeight="1" x14ac:dyDescent="0.35">
      <c r="A38" s="15" t="s">
        <v>39</v>
      </c>
      <c r="B38" s="1"/>
      <c r="C38" s="16"/>
      <c r="D38" s="26">
        <v>5101.2</v>
      </c>
      <c r="E38" s="34">
        <v>2348.33</v>
      </c>
      <c r="F38" s="9">
        <v>2015</v>
      </c>
    </row>
    <row r="39" spans="1:6" ht="12" customHeight="1" x14ac:dyDescent="0.35">
      <c r="A39" s="15" t="s">
        <v>40</v>
      </c>
      <c r="B39" s="1"/>
      <c r="C39" s="16"/>
      <c r="D39" s="26">
        <v>5848.32</v>
      </c>
      <c r="E39" s="34">
        <v>2294.17</v>
      </c>
      <c r="F39" s="9">
        <v>2015</v>
      </c>
    </row>
    <row r="40" spans="1:6" ht="12" customHeight="1" x14ac:dyDescent="0.35">
      <c r="A40" s="15" t="s">
        <v>41</v>
      </c>
      <c r="B40" s="1"/>
      <c r="C40" s="16"/>
      <c r="D40" s="26">
        <v>0</v>
      </c>
      <c r="E40" s="34">
        <v>0</v>
      </c>
      <c r="F40" s="9">
        <v>0</v>
      </c>
    </row>
    <row r="41" spans="1:6" ht="12" customHeight="1" x14ac:dyDescent="0.35">
      <c r="A41" s="15" t="s">
        <v>42</v>
      </c>
      <c r="B41" s="1"/>
      <c r="C41" s="16"/>
      <c r="D41" s="26">
        <v>0</v>
      </c>
      <c r="E41" s="34">
        <v>0</v>
      </c>
      <c r="F41" s="9">
        <v>0</v>
      </c>
    </row>
    <row r="42" spans="1:6" ht="12" customHeight="1" x14ac:dyDescent="0.35">
      <c r="A42" s="15" t="s">
        <v>43</v>
      </c>
      <c r="B42" s="1"/>
      <c r="C42" s="16"/>
      <c r="D42" s="25">
        <v>0</v>
      </c>
      <c r="E42" s="33">
        <v>0</v>
      </c>
      <c r="F42" s="8">
        <v>0</v>
      </c>
    </row>
    <row r="43" spans="1:6" ht="12" customHeight="1" x14ac:dyDescent="0.35">
      <c r="A43" s="15" t="s">
        <v>44</v>
      </c>
      <c r="B43" s="1"/>
      <c r="C43" s="16"/>
      <c r="D43" s="26">
        <v>0</v>
      </c>
      <c r="E43" s="34">
        <v>0</v>
      </c>
      <c r="F43" s="9">
        <v>0</v>
      </c>
    </row>
    <row r="44" spans="1:6" ht="12" customHeight="1" x14ac:dyDescent="0.35">
      <c r="A44" s="15" t="s">
        <v>45</v>
      </c>
      <c r="B44" s="1"/>
      <c r="C44" s="16"/>
      <c r="D44" s="26">
        <v>160</v>
      </c>
      <c r="E44" s="34">
        <v>160</v>
      </c>
      <c r="F44" s="9">
        <v>160</v>
      </c>
    </row>
    <row r="45" spans="1:6" ht="12" customHeight="1" x14ac:dyDescent="0.35">
      <c r="A45" s="15" t="s">
        <v>46</v>
      </c>
      <c r="B45" s="1"/>
      <c r="C45" s="16"/>
      <c r="D45" s="26">
        <v>0</v>
      </c>
      <c r="E45" s="34">
        <v>0</v>
      </c>
      <c r="F45" s="9">
        <v>0</v>
      </c>
    </row>
    <row r="46" spans="1:6" ht="12" customHeight="1" x14ac:dyDescent="0.35">
      <c r="A46" s="15" t="s">
        <v>47</v>
      </c>
      <c r="B46" s="1"/>
      <c r="C46" s="16"/>
      <c r="D46" s="26">
        <v>0</v>
      </c>
      <c r="E46" s="34">
        <v>0</v>
      </c>
      <c r="F46" s="9">
        <v>0</v>
      </c>
    </row>
    <row r="47" spans="1:6" ht="12" customHeight="1" thickBot="1" x14ac:dyDescent="0.4">
      <c r="A47" s="17" t="s">
        <v>48</v>
      </c>
      <c r="B47" s="18"/>
      <c r="C47" s="19"/>
      <c r="D47" s="27">
        <v>30</v>
      </c>
      <c r="E47" s="35">
        <v>30</v>
      </c>
      <c r="F47" s="10">
        <v>30</v>
      </c>
    </row>
  </sheetData>
  <pageMargins left="0" right="0" top="0" bottom="0.39370078740157499" header="0" footer="0"/>
  <pageSetup paperSize="9" fitToWidth="0" orientation="landscape"/>
  <headerFooter>
    <oddHeader>&amp;CIMPUTACIÓN DE COSTES&amp;RFecha listado: 29/01/26</oddHeader>
    <oddFooter>&amp;RPág.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0031D-D140-43FD-9710-18E73605051D}">
  <sheetPr>
    <pageSetUpPr fitToPage="1"/>
  </sheetPr>
  <dimension ref="A1:D4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baseColWidth="10" defaultColWidth="8.7265625" defaultRowHeight="12" customHeight="1" x14ac:dyDescent="0.35"/>
  <cols>
    <col min="1" max="1" width="1.7265625" customWidth="1"/>
    <col min="2" max="2" width="4.7265625" customWidth="1"/>
    <col min="3" max="3" width="56.7265625" customWidth="1"/>
    <col min="4" max="4" width="24.7265625" customWidth="1"/>
  </cols>
  <sheetData>
    <row r="1" spans="1:4" ht="12" customHeight="1" x14ac:dyDescent="0.35">
      <c r="A1" s="1"/>
      <c r="B1" s="2"/>
      <c r="C1" s="2"/>
    </row>
    <row r="2" spans="1:4" ht="12" customHeight="1" x14ac:dyDescent="0.35">
      <c r="A2" s="1" t="s">
        <v>0</v>
      </c>
      <c r="B2" s="2"/>
      <c r="C2" s="2"/>
      <c r="D2" t="s">
        <v>4</v>
      </c>
    </row>
    <row r="3" spans="1:4" ht="12" customHeight="1" thickBot="1" x14ac:dyDescent="0.4">
      <c r="A3" s="1" t="s">
        <v>1</v>
      </c>
      <c r="B3" s="2"/>
      <c r="C3" s="2"/>
    </row>
    <row r="4" spans="1:4" ht="13" customHeight="1" thickTop="1" thickBot="1" x14ac:dyDescent="0.4">
      <c r="A4" s="1" t="s">
        <v>2</v>
      </c>
      <c r="B4" s="2"/>
      <c r="C4" s="6"/>
      <c r="D4" s="43" t="s">
        <v>49</v>
      </c>
    </row>
    <row r="5" spans="1:4" ht="12" customHeight="1" thickTop="1" x14ac:dyDescent="0.35">
      <c r="A5" s="1" t="s">
        <v>3</v>
      </c>
      <c r="B5" s="2"/>
      <c r="C5" s="6"/>
      <c r="D5" s="36" t="s">
        <v>50</v>
      </c>
    </row>
    <row r="6" spans="1:4" ht="12" customHeight="1" x14ac:dyDescent="0.35">
      <c r="A6" s="1"/>
      <c r="B6" s="2"/>
      <c r="C6" s="6"/>
      <c r="D6" s="37"/>
    </row>
    <row r="7" spans="1:4" ht="12" customHeight="1" thickBot="1" x14ac:dyDescent="0.4">
      <c r="A7" s="18"/>
      <c r="B7" s="4"/>
      <c r="C7" s="5"/>
      <c r="D7" s="38"/>
    </row>
    <row r="8" spans="1:4" ht="12" customHeight="1" thickTop="1" x14ac:dyDescent="0.35">
      <c r="A8" s="12"/>
      <c r="B8" s="13"/>
      <c r="C8" s="14"/>
      <c r="D8" s="39"/>
    </row>
    <row r="9" spans="1:4" ht="12" customHeight="1" x14ac:dyDescent="0.35">
      <c r="A9" s="15" t="s">
        <v>15</v>
      </c>
      <c r="B9" s="1"/>
      <c r="C9" s="16"/>
      <c r="D9" s="40"/>
    </row>
    <row r="10" spans="1:4" ht="12" customHeight="1" x14ac:dyDescent="0.35">
      <c r="A10" s="15"/>
      <c r="B10" s="1"/>
      <c r="C10" s="16"/>
      <c r="D10" s="40"/>
    </row>
    <row r="11" spans="1:4" ht="12" customHeight="1" x14ac:dyDescent="0.35">
      <c r="A11" s="15"/>
      <c r="B11" s="1">
        <v>1</v>
      </c>
      <c r="C11" s="16" t="s">
        <v>16</v>
      </c>
      <c r="D11" s="41">
        <f>SUM('1'!$D$11:$G$11)</f>
        <v>6430.48</v>
      </c>
    </row>
    <row r="12" spans="1:4" ht="12" customHeight="1" x14ac:dyDescent="0.35">
      <c r="A12" s="15"/>
      <c r="B12" s="1">
        <v>3</v>
      </c>
      <c r="C12" s="16" t="s">
        <v>17</v>
      </c>
      <c r="D12" s="41">
        <f>SUM('1'!$D$12:$G$12)</f>
        <v>2251.15</v>
      </c>
    </row>
    <row r="13" spans="1:4" ht="12" customHeight="1" x14ac:dyDescent="0.35">
      <c r="A13" s="15"/>
      <c r="B13" s="1">
        <v>123</v>
      </c>
      <c r="C13" s="16" t="s">
        <v>18</v>
      </c>
      <c r="D13" s="41">
        <f>SUM('1'!$D$13:$G$13)</f>
        <v>1071.74</v>
      </c>
    </row>
    <row r="14" spans="1:4" ht="12" customHeight="1" x14ac:dyDescent="0.35">
      <c r="A14" s="15"/>
      <c r="B14" s="1">
        <v>275</v>
      </c>
      <c r="C14" s="16" t="s">
        <v>19</v>
      </c>
      <c r="D14" s="41">
        <f>SUM('1'!$D$14:$G$14)</f>
        <v>45</v>
      </c>
    </row>
    <row r="15" spans="1:4" ht="12" customHeight="1" x14ac:dyDescent="0.35">
      <c r="A15" s="15"/>
      <c r="B15" s="1">
        <v>276</v>
      </c>
      <c r="C15" s="16" t="s">
        <v>20</v>
      </c>
      <c r="D15" s="41">
        <f>SUM('1'!$D$15:$G$15)</f>
        <v>-54.16</v>
      </c>
    </row>
    <row r="16" spans="1:4" ht="12" customHeight="1" x14ac:dyDescent="0.35">
      <c r="A16" s="15"/>
      <c r="B16" s="1">
        <v>337</v>
      </c>
      <c r="C16" s="16" t="s">
        <v>21</v>
      </c>
      <c r="D16" s="41">
        <f>SUM('1'!$D$16:$G$16)</f>
        <v>54.16</v>
      </c>
    </row>
    <row r="17" spans="1:4" ht="12" customHeight="1" x14ac:dyDescent="0.35">
      <c r="A17" s="15"/>
      <c r="B17" s="1">
        <v>398</v>
      </c>
      <c r="C17" s="16" t="s">
        <v>22</v>
      </c>
      <c r="D17" s="41">
        <f>SUM('1'!$D$17:$G$17)</f>
        <v>413.28</v>
      </c>
    </row>
    <row r="18" spans="1:4" ht="12" customHeight="1" x14ac:dyDescent="0.35">
      <c r="A18" s="15"/>
      <c r="B18" s="1"/>
      <c r="C18" s="16"/>
      <c r="D18" s="40"/>
    </row>
    <row r="19" spans="1:4" ht="12" customHeight="1" x14ac:dyDescent="0.35">
      <c r="A19" s="15" t="s">
        <v>23</v>
      </c>
      <c r="B19" s="1"/>
      <c r="C19" s="16"/>
      <c r="D19" s="41">
        <f>SUM('1'!$D$19:$G$19)</f>
        <v>10211.65</v>
      </c>
    </row>
    <row r="20" spans="1:4" ht="12" customHeight="1" x14ac:dyDescent="0.35">
      <c r="A20" s="15"/>
      <c r="B20" s="1"/>
      <c r="C20" s="16"/>
      <c r="D20" s="40"/>
    </row>
    <row r="21" spans="1:4" ht="12" customHeight="1" x14ac:dyDescent="0.35">
      <c r="A21" s="15"/>
      <c r="B21" s="1">
        <v>789</v>
      </c>
      <c r="C21" s="16" t="s">
        <v>24</v>
      </c>
      <c r="D21" s="41">
        <f>SUM('1'!$D$21:$G$21)</f>
        <v>54.16</v>
      </c>
    </row>
    <row r="22" spans="1:4" ht="12" customHeight="1" x14ac:dyDescent="0.35">
      <c r="A22" s="15"/>
      <c r="B22" s="1">
        <v>995</v>
      </c>
      <c r="C22" s="16" t="s">
        <v>25</v>
      </c>
      <c r="D22" s="41">
        <f>SUM('1'!$D$22:$G$22)</f>
        <v>460.5</v>
      </c>
    </row>
    <row r="23" spans="1:4" ht="12" customHeight="1" x14ac:dyDescent="0.35">
      <c r="A23" s="15"/>
      <c r="B23" s="1">
        <v>996</v>
      </c>
      <c r="C23" s="16" t="s">
        <v>26</v>
      </c>
      <c r="D23" s="41">
        <f>SUM('1'!$D$23:$G$23)</f>
        <v>9.4699999999999989</v>
      </c>
    </row>
    <row r="24" spans="1:4" ht="12" customHeight="1" x14ac:dyDescent="0.35">
      <c r="A24" s="15"/>
      <c r="B24" s="1">
        <v>997</v>
      </c>
      <c r="C24" s="16" t="s">
        <v>27</v>
      </c>
      <c r="D24" s="41">
        <f>SUM('1'!$D$24:$G$24)</f>
        <v>146.69999999999999</v>
      </c>
    </row>
    <row r="25" spans="1:4" ht="12" customHeight="1" x14ac:dyDescent="0.35">
      <c r="A25" s="15"/>
      <c r="B25" s="1">
        <v>999</v>
      </c>
      <c r="C25" s="16" t="s">
        <v>28</v>
      </c>
      <c r="D25" s="41">
        <f>SUM('1'!$D$25:$G$25)</f>
        <v>2209.5</v>
      </c>
    </row>
    <row r="26" spans="1:4" ht="12" customHeight="1" x14ac:dyDescent="0.35">
      <c r="A26" s="15"/>
      <c r="B26" s="1"/>
      <c r="C26" s="16"/>
      <c r="D26" s="40"/>
    </row>
    <row r="27" spans="1:4" ht="12" customHeight="1" x14ac:dyDescent="0.35">
      <c r="A27" s="15" t="s">
        <v>29</v>
      </c>
      <c r="B27" s="1"/>
      <c r="C27" s="16"/>
      <c r="D27" s="41">
        <f>SUM('1'!$D$27:$G$27)</f>
        <v>2880.33</v>
      </c>
    </row>
    <row r="28" spans="1:4" ht="12" customHeight="1" x14ac:dyDescent="0.35">
      <c r="A28" s="15"/>
      <c r="B28" s="1"/>
      <c r="C28" s="16"/>
      <c r="D28" s="40"/>
    </row>
    <row r="29" spans="1:4" ht="12" customHeight="1" x14ac:dyDescent="0.35">
      <c r="A29" s="15" t="s">
        <v>30</v>
      </c>
      <c r="B29" s="1"/>
      <c r="C29" s="16"/>
      <c r="D29" s="41">
        <f>SUM('1'!$D$29:$G$29)</f>
        <v>7331.32</v>
      </c>
    </row>
    <row r="30" spans="1:4" ht="12" customHeight="1" x14ac:dyDescent="0.35">
      <c r="A30" s="15" t="s">
        <v>31</v>
      </c>
      <c r="B30" s="1"/>
      <c r="C30" s="16"/>
      <c r="D30" s="41">
        <f>SUM('1'!$D$30:$G$30)</f>
        <v>0</v>
      </c>
    </row>
    <row r="31" spans="1:4" ht="12" customHeight="1" x14ac:dyDescent="0.35">
      <c r="A31" s="15" t="s">
        <v>32</v>
      </c>
      <c r="B31" s="1"/>
      <c r="C31" s="16"/>
      <c r="D31" s="41">
        <f>SUM('1'!$D$31:$G$31)</f>
        <v>3050.2300000000005</v>
      </c>
    </row>
    <row r="32" spans="1:4" ht="12" customHeight="1" x14ac:dyDescent="0.35">
      <c r="A32" s="15" t="s">
        <v>33</v>
      </c>
      <c r="B32" s="1"/>
      <c r="C32" s="16"/>
      <c r="D32" s="41">
        <f>SUM('1'!$D$32:$G$32)</f>
        <v>616.66999999999996</v>
      </c>
    </row>
    <row r="33" spans="1:4" ht="12" customHeight="1" x14ac:dyDescent="0.35">
      <c r="A33" s="15" t="s">
        <v>34</v>
      </c>
      <c r="B33" s="1"/>
      <c r="C33" s="16"/>
      <c r="D33" s="41">
        <f>SUM('1'!$D$33:$G$33)</f>
        <v>3666.9</v>
      </c>
    </row>
    <row r="34" spans="1:4" ht="12" customHeight="1" x14ac:dyDescent="0.35">
      <c r="A34" s="15" t="s">
        <v>35</v>
      </c>
      <c r="B34" s="1"/>
      <c r="C34" s="16"/>
      <c r="D34" s="41">
        <f>SUM('1'!$D$34:$G$34)</f>
        <v>0</v>
      </c>
    </row>
    <row r="35" spans="1:4" ht="12" customHeight="1" x14ac:dyDescent="0.35">
      <c r="A35" s="15" t="s">
        <v>36</v>
      </c>
      <c r="B35" s="1"/>
      <c r="C35" s="16"/>
      <c r="D35" s="41">
        <f>SUM('1'!$D$35:$G$35)</f>
        <v>0</v>
      </c>
    </row>
    <row r="36" spans="1:4" ht="12" customHeight="1" x14ac:dyDescent="0.35">
      <c r="A36" s="15" t="s">
        <v>37</v>
      </c>
      <c r="B36" s="1"/>
      <c r="C36" s="16"/>
      <c r="D36" s="41">
        <f>SUM('1'!$D$36:$G$36)</f>
        <v>13261.880000000001</v>
      </c>
    </row>
    <row r="37" spans="1:4" ht="12" customHeight="1" x14ac:dyDescent="0.35">
      <c r="A37" s="15" t="s">
        <v>38</v>
      </c>
      <c r="B37" s="1"/>
      <c r="C37" s="16"/>
      <c r="D37" s="41">
        <f>SUM('1'!$D$37:$G$37)</f>
        <v>9464.5299999999988</v>
      </c>
    </row>
    <row r="38" spans="1:4" ht="12" customHeight="1" x14ac:dyDescent="0.35">
      <c r="A38" s="15" t="s">
        <v>39</v>
      </c>
      <c r="B38" s="1"/>
      <c r="C38" s="16"/>
      <c r="D38" s="41">
        <f>SUM('1'!$D$38:$G$38)</f>
        <v>9464.5299999999988</v>
      </c>
    </row>
    <row r="39" spans="1:4" ht="12" customHeight="1" x14ac:dyDescent="0.35">
      <c r="A39" s="15" t="s">
        <v>40</v>
      </c>
      <c r="B39" s="1"/>
      <c r="C39" s="16"/>
      <c r="D39" s="41">
        <f>SUM('1'!$D$39:$G$39)</f>
        <v>10157.49</v>
      </c>
    </row>
    <row r="40" spans="1:4" ht="12" customHeight="1" x14ac:dyDescent="0.35">
      <c r="A40" s="15" t="s">
        <v>41</v>
      </c>
      <c r="B40" s="1"/>
      <c r="C40" s="16"/>
      <c r="D40" s="41">
        <f>SUM('1'!$D$40:$G$40)</f>
        <v>0</v>
      </c>
    </row>
    <row r="41" spans="1:4" ht="12" customHeight="1" x14ac:dyDescent="0.35">
      <c r="A41" s="15" t="s">
        <v>42</v>
      </c>
      <c r="B41" s="1"/>
      <c r="C41" s="16"/>
      <c r="D41" s="41">
        <f>SUM('1'!$D$41:$G$41)</f>
        <v>0</v>
      </c>
    </row>
    <row r="42" spans="1:4" ht="12" customHeight="1" x14ac:dyDescent="0.35">
      <c r="A42" s="15" t="s">
        <v>43</v>
      </c>
      <c r="B42" s="1"/>
      <c r="C42" s="16"/>
      <c r="D42" s="40">
        <f>SUM('1'!$D$42:$G$42)</f>
        <v>0</v>
      </c>
    </row>
    <row r="43" spans="1:4" ht="12" customHeight="1" x14ac:dyDescent="0.35">
      <c r="A43" s="15" t="s">
        <v>44</v>
      </c>
      <c r="B43" s="1"/>
      <c r="C43" s="16"/>
      <c r="D43" s="41">
        <f>SUM('1'!$D$43:$G$43)</f>
        <v>0</v>
      </c>
    </row>
    <row r="44" spans="1:4" ht="12" customHeight="1" x14ac:dyDescent="0.35">
      <c r="A44" s="15" t="s">
        <v>45</v>
      </c>
      <c r="B44" s="1"/>
      <c r="C44" s="16"/>
      <c r="D44" s="41">
        <f>SUM('1'!$D$44:$G$44)</f>
        <v>480</v>
      </c>
    </row>
    <row r="45" spans="1:4" ht="12" customHeight="1" x14ac:dyDescent="0.35">
      <c r="A45" s="15" t="s">
        <v>46</v>
      </c>
      <c r="B45" s="1"/>
      <c r="C45" s="16"/>
      <c r="D45" s="41">
        <f>SUM('1'!$D$45:$G$45)</f>
        <v>0</v>
      </c>
    </row>
    <row r="46" spans="1:4" ht="12" customHeight="1" x14ac:dyDescent="0.35">
      <c r="A46" s="15" t="s">
        <v>47</v>
      </c>
      <c r="B46" s="1"/>
      <c r="C46" s="16"/>
      <c r="D46" s="41">
        <f>SUM('1'!$D$46:$G$46)</f>
        <v>0</v>
      </c>
    </row>
    <row r="47" spans="1:4" ht="12" customHeight="1" x14ac:dyDescent="0.35">
      <c r="A47" s="15" t="s">
        <v>48</v>
      </c>
      <c r="B47" s="1"/>
      <c r="C47" s="16"/>
      <c r="D47" s="41">
        <f>SUM('1'!$D$47:$G$47)</f>
        <v>90</v>
      </c>
    </row>
    <row r="48" spans="1:4" ht="12" customHeight="1" thickBot="1" x14ac:dyDescent="0.4">
      <c r="A48" s="17" t="s">
        <v>51</v>
      </c>
      <c r="B48" s="18"/>
      <c r="C48" s="19"/>
      <c r="D48" s="42">
        <v>3</v>
      </c>
    </row>
  </sheetData>
  <pageMargins left="0" right="0" top="0" bottom="0.39370078740157499" header="0" footer="0"/>
  <pageSetup paperSize="9" fitToWidth="0" orientation="landscape"/>
  <headerFooter>
    <oddHeader>&amp;CIMPUTACIÓN DE COSTES&amp;RFecha listado: 29/01/26</oddHeader>
    <oddFooter>&amp;RPág.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1E6C8-DB4E-486E-BA99-E0916F16D53A}">
  <sheetPr>
    <pageSetUpPr fitToPage="1"/>
  </sheetPr>
  <dimension ref="A1:I5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baseColWidth="10" defaultColWidth="8.7265625" defaultRowHeight="12" customHeight="1" x14ac:dyDescent="0.35"/>
  <cols>
    <col min="1" max="1" width="1.7265625" customWidth="1"/>
    <col min="2" max="2" width="4.7265625" customWidth="1"/>
    <col min="3" max="3" width="56.7265625" customWidth="1"/>
    <col min="4" max="9" width="12.7265625" customWidth="1"/>
  </cols>
  <sheetData>
    <row r="1" spans="1:9" ht="12" customHeight="1" x14ac:dyDescent="0.35">
      <c r="A1" s="1"/>
      <c r="B1" s="2"/>
      <c r="C1" s="2"/>
    </row>
    <row r="2" spans="1:9" ht="12" customHeight="1" x14ac:dyDescent="0.35">
      <c r="A2" s="1" t="s">
        <v>0</v>
      </c>
      <c r="B2" s="2"/>
      <c r="C2" s="2"/>
      <c r="D2" t="s">
        <v>52</v>
      </c>
    </row>
    <row r="3" spans="1:9" ht="12" customHeight="1" thickBot="1" x14ac:dyDescent="0.4">
      <c r="A3" s="1" t="s">
        <v>1</v>
      </c>
      <c r="B3" s="2"/>
      <c r="C3" s="2"/>
    </row>
    <row r="4" spans="1:9" ht="13" customHeight="1" thickTop="1" thickBot="1" x14ac:dyDescent="0.4">
      <c r="A4" s="1" t="s">
        <v>2</v>
      </c>
      <c r="B4" s="2"/>
      <c r="C4" s="6"/>
      <c r="D4" s="20" t="s">
        <v>53</v>
      </c>
      <c r="E4" s="28" t="s">
        <v>54</v>
      </c>
      <c r="F4" s="28" t="s">
        <v>55</v>
      </c>
      <c r="G4" s="28" t="s">
        <v>56</v>
      </c>
      <c r="H4" s="28" t="s">
        <v>57</v>
      </c>
      <c r="I4" s="11" t="s">
        <v>58</v>
      </c>
    </row>
    <row r="5" spans="1:9" ht="12" customHeight="1" thickTop="1" x14ac:dyDescent="0.35">
      <c r="A5" s="1" t="s">
        <v>3</v>
      </c>
      <c r="B5" s="2"/>
      <c r="C5" s="6"/>
      <c r="D5" s="21" t="s">
        <v>59</v>
      </c>
      <c r="E5" s="29" t="s">
        <v>60</v>
      </c>
      <c r="F5" s="29" t="s">
        <v>61</v>
      </c>
      <c r="G5" s="29" t="s">
        <v>62</v>
      </c>
      <c r="H5" s="29" t="s">
        <v>63</v>
      </c>
      <c r="I5" s="3" t="s">
        <v>64</v>
      </c>
    </row>
    <row r="6" spans="1:9" ht="12" customHeight="1" x14ac:dyDescent="0.35">
      <c r="A6" s="1"/>
      <c r="B6" s="2"/>
      <c r="C6" s="6"/>
      <c r="D6" s="22" t="s">
        <v>65</v>
      </c>
      <c r="E6" s="30" t="s">
        <v>66</v>
      </c>
      <c r="F6" s="30" t="s">
        <v>67</v>
      </c>
      <c r="G6" s="30" t="s">
        <v>68</v>
      </c>
      <c r="H6" s="30" t="s">
        <v>69</v>
      </c>
      <c r="I6" s="6" t="s">
        <v>70</v>
      </c>
    </row>
    <row r="7" spans="1:9" ht="12" customHeight="1" thickBot="1" x14ac:dyDescent="0.4">
      <c r="A7" s="18"/>
      <c r="B7" s="4"/>
      <c r="C7" s="5"/>
      <c r="D7" s="23"/>
      <c r="E7" s="31" t="s">
        <v>71</v>
      </c>
      <c r="F7" s="31" t="s">
        <v>72</v>
      </c>
      <c r="G7" s="31"/>
      <c r="H7" s="31" t="s">
        <v>73</v>
      </c>
      <c r="I7" s="5" t="s">
        <v>74</v>
      </c>
    </row>
    <row r="8" spans="1:9" ht="12" customHeight="1" thickTop="1" x14ac:dyDescent="0.35">
      <c r="A8" s="12"/>
      <c r="B8" s="13"/>
      <c r="C8" s="14"/>
      <c r="D8" s="24"/>
      <c r="E8" s="32"/>
      <c r="F8" s="32"/>
      <c r="G8" s="32"/>
      <c r="H8" s="32"/>
      <c r="I8" s="7"/>
    </row>
    <row r="9" spans="1:9" ht="12" customHeight="1" x14ac:dyDescent="0.35">
      <c r="A9" s="15" t="s">
        <v>15</v>
      </c>
      <c r="B9" s="1"/>
      <c r="C9" s="16"/>
      <c r="D9" s="25"/>
      <c r="E9" s="33"/>
      <c r="F9" s="33"/>
      <c r="G9" s="33"/>
      <c r="H9" s="33"/>
      <c r="I9" s="8"/>
    </row>
    <row r="10" spans="1:9" ht="12" customHeight="1" x14ac:dyDescent="0.35">
      <c r="A10" s="15"/>
      <c r="B10" s="1"/>
      <c r="C10" s="16"/>
      <c r="D10" s="25"/>
      <c r="E10" s="33"/>
      <c r="F10" s="33"/>
      <c r="G10" s="33"/>
      <c r="H10" s="33"/>
      <c r="I10" s="8"/>
    </row>
    <row r="11" spans="1:9" ht="12" customHeight="1" x14ac:dyDescent="0.35">
      <c r="A11" s="15"/>
      <c r="B11" s="1">
        <v>1</v>
      </c>
      <c r="C11" s="16" t="s">
        <v>16</v>
      </c>
      <c r="D11" s="26">
        <v>2500</v>
      </c>
      <c r="E11" s="34">
        <v>1399.21</v>
      </c>
      <c r="F11" s="34">
        <v>5000</v>
      </c>
      <c r="G11" s="34">
        <v>3693.39</v>
      </c>
      <c r="H11" s="34">
        <v>1312.81</v>
      </c>
      <c r="I11" s="9">
        <v>1215.24</v>
      </c>
    </row>
    <row r="12" spans="1:9" ht="12" customHeight="1" x14ac:dyDescent="0.35">
      <c r="A12" s="15"/>
      <c r="B12" s="1">
        <v>3</v>
      </c>
      <c r="C12" s="16" t="s">
        <v>17</v>
      </c>
      <c r="D12" s="26">
        <v>695.57</v>
      </c>
      <c r="E12" s="34">
        <v>729.82</v>
      </c>
      <c r="F12" s="34">
        <v>1695.57</v>
      </c>
      <c r="G12" s="34">
        <v>59.66</v>
      </c>
      <c r="H12" s="34">
        <v>1080.6199999999999</v>
      </c>
      <c r="I12" s="9">
        <v>944.45</v>
      </c>
    </row>
    <row r="13" spans="1:9" ht="12" customHeight="1" x14ac:dyDescent="0.35">
      <c r="A13" s="15"/>
      <c r="B13" s="1">
        <v>123</v>
      </c>
      <c r="C13" s="16" t="s">
        <v>18</v>
      </c>
      <c r="D13" s="26">
        <v>416.66</v>
      </c>
      <c r="E13" s="34">
        <v>233.2</v>
      </c>
      <c r="F13" s="34">
        <v>833.34</v>
      </c>
      <c r="G13" s="34">
        <v>615.55999999999995</v>
      </c>
      <c r="H13" s="34">
        <v>218.8</v>
      </c>
      <c r="I13" s="9">
        <v>202.54</v>
      </c>
    </row>
    <row r="14" spans="1:9" ht="12" customHeight="1" x14ac:dyDescent="0.35">
      <c r="A14" s="15"/>
      <c r="B14" s="1">
        <v>181</v>
      </c>
      <c r="C14" s="16" t="s">
        <v>75</v>
      </c>
      <c r="D14" s="26"/>
      <c r="E14" s="34">
        <v>1024.3</v>
      </c>
      <c r="F14" s="34"/>
      <c r="G14" s="34"/>
      <c r="H14" s="34"/>
      <c r="I14" s="9"/>
    </row>
    <row r="15" spans="1:9" ht="12" customHeight="1" x14ac:dyDescent="0.35">
      <c r="A15" s="15"/>
      <c r="B15" s="1">
        <v>275</v>
      </c>
      <c r="C15" s="16" t="s">
        <v>19</v>
      </c>
      <c r="D15" s="26">
        <v>15</v>
      </c>
      <c r="E15" s="34">
        <v>15</v>
      </c>
      <c r="F15" s="34">
        <v>15</v>
      </c>
      <c r="G15" s="34">
        <v>15</v>
      </c>
      <c r="H15" s="34">
        <v>15</v>
      </c>
      <c r="I15" s="9">
        <v>15</v>
      </c>
    </row>
    <row r="16" spans="1:9" ht="12" customHeight="1" x14ac:dyDescent="0.35">
      <c r="A16" s="15"/>
      <c r="B16" s="1">
        <v>276</v>
      </c>
      <c r="C16" s="16" t="s">
        <v>20</v>
      </c>
      <c r="D16" s="26"/>
      <c r="E16" s="34">
        <v>-220</v>
      </c>
      <c r="F16" s="34"/>
      <c r="G16" s="34">
        <v>-220</v>
      </c>
      <c r="H16" s="34">
        <v>-214.35</v>
      </c>
      <c r="I16" s="9">
        <v>-220</v>
      </c>
    </row>
    <row r="17" spans="1:9" ht="12" customHeight="1" x14ac:dyDescent="0.35">
      <c r="A17" s="15"/>
      <c r="B17" s="1">
        <v>277</v>
      </c>
      <c r="C17" s="16" t="s">
        <v>76</v>
      </c>
      <c r="D17" s="26"/>
      <c r="E17" s="34">
        <v>-133.94999999999999</v>
      </c>
      <c r="F17" s="34"/>
      <c r="G17" s="34">
        <v>-136.36000000000001</v>
      </c>
      <c r="H17" s="34">
        <v>-38.200000000000003</v>
      </c>
      <c r="I17" s="9">
        <v>-7.3</v>
      </c>
    </row>
    <row r="18" spans="1:9" ht="12" customHeight="1" x14ac:dyDescent="0.35">
      <c r="A18" s="15"/>
      <c r="B18" s="1">
        <v>282</v>
      </c>
      <c r="C18" s="16" t="s">
        <v>77</v>
      </c>
      <c r="D18" s="26"/>
      <c r="E18" s="34"/>
      <c r="F18" s="34"/>
      <c r="G18" s="34">
        <v>458.82</v>
      </c>
      <c r="H18" s="34"/>
      <c r="I18" s="9"/>
    </row>
    <row r="19" spans="1:9" ht="12" customHeight="1" x14ac:dyDescent="0.35">
      <c r="A19" s="15"/>
      <c r="B19" s="1">
        <v>337</v>
      </c>
      <c r="C19" s="16" t="s">
        <v>21</v>
      </c>
      <c r="D19" s="26"/>
      <c r="E19" s="34">
        <v>220</v>
      </c>
      <c r="F19" s="34"/>
      <c r="G19" s="34">
        <v>220</v>
      </c>
      <c r="H19" s="34">
        <v>214.35</v>
      </c>
      <c r="I19" s="9">
        <v>220</v>
      </c>
    </row>
    <row r="20" spans="1:9" ht="12" customHeight="1" x14ac:dyDescent="0.35">
      <c r="A20" s="15"/>
      <c r="B20" s="1">
        <v>339</v>
      </c>
      <c r="C20" s="16" t="s">
        <v>78</v>
      </c>
      <c r="D20" s="26">
        <v>215.34</v>
      </c>
      <c r="E20" s="34"/>
      <c r="F20" s="34">
        <v>220</v>
      </c>
      <c r="G20" s="34"/>
      <c r="H20" s="34"/>
      <c r="I20" s="9"/>
    </row>
    <row r="21" spans="1:9" ht="12" customHeight="1" x14ac:dyDescent="0.35">
      <c r="A21" s="15"/>
      <c r="B21" s="1">
        <v>343</v>
      </c>
      <c r="C21" s="16" t="s">
        <v>79</v>
      </c>
      <c r="D21" s="26"/>
      <c r="E21" s="34">
        <v>133.94999999999999</v>
      </c>
      <c r="F21" s="34"/>
      <c r="G21" s="34">
        <v>136.36000000000001</v>
      </c>
      <c r="H21" s="34">
        <v>38.200000000000003</v>
      </c>
      <c r="I21" s="9">
        <v>7.3</v>
      </c>
    </row>
    <row r="22" spans="1:9" ht="12" customHeight="1" x14ac:dyDescent="0.35">
      <c r="A22" s="15"/>
      <c r="B22" s="1">
        <v>345</v>
      </c>
      <c r="C22" s="16" t="s">
        <v>80</v>
      </c>
      <c r="D22" s="26">
        <v>21.9</v>
      </c>
      <c r="E22" s="34"/>
      <c r="F22" s="34">
        <v>136.36000000000001</v>
      </c>
      <c r="G22" s="34"/>
      <c r="H22" s="34"/>
      <c r="I22" s="9"/>
    </row>
    <row r="23" spans="1:9" ht="12" customHeight="1" x14ac:dyDescent="0.35">
      <c r="A23" s="15"/>
      <c r="B23" s="1">
        <v>353</v>
      </c>
      <c r="C23" s="16" t="s">
        <v>81</v>
      </c>
      <c r="D23" s="26">
        <v>41.67</v>
      </c>
      <c r="E23" s="34"/>
      <c r="F23" s="34">
        <v>125.01</v>
      </c>
      <c r="G23" s="34">
        <v>41.67</v>
      </c>
      <c r="H23" s="34"/>
      <c r="I23" s="9"/>
    </row>
    <row r="24" spans="1:9" ht="12" customHeight="1" x14ac:dyDescent="0.35">
      <c r="A24" s="15"/>
      <c r="B24" s="1">
        <v>356</v>
      </c>
      <c r="C24" s="16" t="s">
        <v>82</v>
      </c>
      <c r="D24" s="26">
        <v>23.09</v>
      </c>
      <c r="E24" s="34"/>
      <c r="F24" s="34">
        <v>69.27</v>
      </c>
      <c r="G24" s="34">
        <v>23.09</v>
      </c>
      <c r="H24" s="34"/>
      <c r="I24" s="9"/>
    </row>
    <row r="25" spans="1:9" ht="12" customHeight="1" x14ac:dyDescent="0.35">
      <c r="A25" s="15"/>
      <c r="B25" s="1">
        <v>398</v>
      </c>
      <c r="C25" s="16" t="s">
        <v>22</v>
      </c>
      <c r="D25" s="26">
        <v>137.76</v>
      </c>
      <c r="E25" s="34">
        <v>137.76</v>
      </c>
      <c r="F25" s="34">
        <v>137.76</v>
      </c>
      <c r="G25" s="34">
        <v>137.76</v>
      </c>
      <c r="H25" s="34">
        <v>137.76</v>
      </c>
      <c r="I25" s="9">
        <v>137.76</v>
      </c>
    </row>
    <row r="26" spans="1:9" ht="12" customHeight="1" x14ac:dyDescent="0.35">
      <c r="A26" s="15"/>
      <c r="B26" s="1">
        <v>988</v>
      </c>
      <c r="C26" s="16" t="s">
        <v>83</v>
      </c>
      <c r="D26" s="26">
        <v>4.8600000000000003</v>
      </c>
      <c r="E26" s="34"/>
      <c r="F26" s="34">
        <v>21.74</v>
      </c>
      <c r="G26" s="34">
        <v>113.15</v>
      </c>
      <c r="H26" s="34"/>
      <c r="I26" s="9"/>
    </row>
    <row r="27" spans="1:9" ht="12" customHeight="1" x14ac:dyDescent="0.35">
      <c r="A27" s="15"/>
      <c r="B27" s="1"/>
      <c r="C27" s="16"/>
      <c r="D27" s="26"/>
      <c r="E27" s="34"/>
      <c r="F27" s="34"/>
      <c r="G27" s="34"/>
      <c r="H27" s="34"/>
      <c r="I27" s="9"/>
    </row>
    <row r="28" spans="1:9" ht="12" customHeight="1" x14ac:dyDescent="0.35">
      <c r="A28" s="15" t="s">
        <v>23</v>
      </c>
      <c r="B28" s="1"/>
      <c r="C28" s="16"/>
      <c r="D28" s="26">
        <f t="shared" ref="D28:I28" si="0">SUM(D11:D27)</f>
        <v>4071.8500000000008</v>
      </c>
      <c r="E28" s="34">
        <f t="shared" si="0"/>
        <v>3539.29</v>
      </c>
      <c r="F28" s="34">
        <f t="shared" si="0"/>
        <v>8254.0499999999993</v>
      </c>
      <c r="G28" s="34">
        <f t="shared" si="0"/>
        <v>5158.0999999999995</v>
      </c>
      <c r="H28" s="34">
        <f t="shared" si="0"/>
        <v>2764.99</v>
      </c>
      <c r="I28" s="9">
        <f t="shared" si="0"/>
        <v>2514.9899999999998</v>
      </c>
    </row>
    <row r="29" spans="1:9" ht="12" customHeight="1" x14ac:dyDescent="0.35">
      <c r="A29" s="15"/>
      <c r="B29" s="1"/>
      <c r="C29" s="16"/>
      <c r="D29" s="26"/>
      <c r="E29" s="34"/>
      <c r="F29" s="34"/>
      <c r="G29" s="34"/>
      <c r="H29" s="34"/>
      <c r="I29" s="9"/>
    </row>
    <row r="30" spans="1:9" ht="12" customHeight="1" x14ac:dyDescent="0.35">
      <c r="A30" s="15"/>
      <c r="B30" s="1">
        <v>768</v>
      </c>
      <c r="C30" s="16" t="s">
        <v>84</v>
      </c>
      <c r="D30" s="26"/>
      <c r="E30" s="34"/>
      <c r="F30" s="34">
        <v>1119.4000000000001</v>
      </c>
      <c r="G30" s="34"/>
      <c r="H30" s="34"/>
      <c r="I30" s="9"/>
    </row>
    <row r="31" spans="1:9" ht="12" customHeight="1" x14ac:dyDescent="0.35">
      <c r="A31" s="15"/>
      <c r="B31" s="1">
        <v>789</v>
      </c>
      <c r="C31" s="16" t="s">
        <v>24</v>
      </c>
      <c r="D31" s="26">
        <v>302</v>
      </c>
      <c r="E31" s="34">
        <v>353.95</v>
      </c>
      <c r="F31" s="34">
        <v>550.64</v>
      </c>
      <c r="G31" s="34">
        <v>879.94</v>
      </c>
      <c r="H31" s="34">
        <v>252.55</v>
      </c>
      <c r="I31" s="9">
        <v>227.3</v>
      </c>
    </row>
    <row r="32" spans="1:9" ht="12" customHeight="1" x14ac:dyDescent="0.35">
      <c r="A32" s="15"/>
      <c r="B32" s="1">
        <v>989</v>
      </c>
      <c r="C32" s="16" t="s">
        <v>85</v>
      </c>
      <c r="D32" s="26">
        <v>4.8600000000000003</v>
      </c>
      <c r="E32" s="34"/>
      <c r="F32" s="34">
        <v>21.74</v>
      </c>
      <c r="G32" s="34">
        <v>113.15</v>
      </c>
      <c r="H32" s="34"/>
      <c r="I32" s="9"/>
    </row>
    <row r="33" spans="1:9" ht="12" customHeight="1" x14ac:dyDescent="0.35">
      <c r="A33" s="15"/>
      <c r="B33" s="1">
        <v>995</v>
      </c>
      <c r="C33" s="16" t="s">
        <v>25</v>
      </c>
      <c r="D33" s="26">
        <v>197.25</v>
      </c>
      <c r="E33" s="34">
        <v>171.66</v>
      </c>
      <c r="F33" s="34">
        <v>254.06</v>
      </c>
      <c r="G33" s="34">
        <v>244.68</v>
      </c>
      <c r="H33" s="34">
        <v>134.1</v>
      </c>
      <c r="I33" s="9">
        <v>121.97</v>
      </c>
    </row>
    <row r="34" spans="1:9" ht="12" customHeight="1" x14ac:dyDescent="0.35">
      <c r="A34" s="15"/>
      <c r="B34" s="1">
        <v>996</v>
      </c>
      <c r="C34" s="16" t="s">
        <v>26</v>
      </c>
      <c r="D34" s="26">
        <v>4.07</v>
      </c>
      <c r="E34" s="34">
        <v>3.54</v>
      </c>
      <c r="F34" s="34">
        <v>5.0999999999999996</v>
      </c>
      <c r="G34" s="34">
        <v>5.04</v>
      </c>
      <c r="H34" s="34">
        <v>2.76</v>
      </c>
      <c r="I34" s="9">
        <v>2.5099999999999998</v>
      </c>
    </row>
    <row r="35" spans="1:9" ht="12" customHeight="1" x14ac:dyDescent="0.35">
      <c r="A35" s="15"/>
      <c r="B35" s="1">
        <v>997</v>
      </c>
      <c r="C35" s="16" t="s">
        <v>27</v>
      </c>
      <c r="D35" s="26">
        <v>63.04</v>
      </c>
      <c r="E35" s="34">
        <v>54.86</v>
      </c>
      <c r="F35" s="34">
        <v>79.069999999999993</v>
      </c>
      <c r="G35" s="34">
        <v>78.2</v>
      </c>
      <c r="H35" s="34">
        <v>42.86</v>
      </c>
      <c r="I35" s="9">
        <v>38.979999999999997</v>
      </c>
    </row>
    <row r="36" spans="1:9" ht="12" customHeight="1" x14ac:dyDescent="0.35">
      <c r="A36" s="15"/>
      <c r="B36" s="1">
        <v>999</v>
      </c>
      <c r="C36" s="16" t="s">
        <v>28</v>
      </c>
      <c r="D36" s="26">
        <v>792.53</v>
      </c>
      <c r="E36" s="34">
        <v>639.29999999999995</v>
      </c>
      <c r="F36" s="34">
        <v>2411.2800000000002</v>
      </c>
      <c r="G36" s="34">
        <v>977.94</v>
      </c>
      <c r="H36" s="34">
        <v>436.66</v>
      </c>
      <c r="I36" s="9">
        <v>373.35</v>
      </c>
    </row>
    <row r="37" spans="1:9" ht="12" customHeight="1" x14ac:dyDescent="0.35">
      <c r="A37" s="15"/>
      <c r="B37" s="1"/>
      <c r="C37" s="16"/>
      <c r="D37" s="26"/>
      <c r="E37" s="34"/>
      <c r="F37" s="34"/>
      <c r="G37" s="34"/>
      <c r="H37" s="34"/>
      <c r="I37" s="9"/>
    </row>
    <row r="38" spans="1:9" ht="12" customHeight="1" x14ac:dyDescent="0.35">
      <c r="A38" s="15" t="s">
        <v>29</v>
      </c>
      <c r="B38" s="1"/>
      <c r="C38" s="16"/>
      <c r="D38" s="26">
        <f t="shared" ref="D38:I38" si="1">SUM(D29:D37)</f>
        <v>1363.75</v>
      </c>
      <c r="E38" s="34">
        <f t="shared" si="1"/>
        <v>1223.31</v>
      </c>
      <c r="F38" s="34">
        <f t="shared" si="1"/>
        <v>4441.29</v>
      </c>
      <c r="G38" s="34">
        <f t="shared" si="1"/>
        <v>2298.9499999999998</v>
      </c>
      <c r="H38" s="34">
        <f t="shared" si="1"/>
        <v>868.93000000000006</v>
      </c>
      <c r="I38" s="9">
        <f t="shared" si="1"/>
        <v>764.11</v>
      </c>
    </row>
    <row r="39" spans="1:9" ht="12" customHeight="1" x14ac:dyDescent="0.35">
      <c r="A39" s="15"/>
      <c r="B39" s="1"/>
      <c r="C39" s="16"/>
      <c r="D39" s="26"/>
      <c r="E39" s="34"/>
      <c r="F39" s="34"/>
      <c r="G39" s="34"/>
      <c r="H39" s="34"/>
      <c r="I39" s="9"/>
    </row>
    <row r="40" spans="1:9" ht="12" customHeight="1" x14ac:dyDescent="0.35">
      <c r="A40" s="15" t="s">
        <v>30</v>
      </c>
      <c r="B40" s="1"/>
      <c r="C40" s="16"/>
      <c r="D40" s="26">
        <f t="shared" ref="D40:I40" si="2">(D28-D38)</f>
        <v>2708.1000000000008</v>
      </c>
      <c r="E40" s="34">
        <f t="shared" si="2"/>
        <v>2315.98</v>
      </c>
      <c r="F40" s="34">
        <f t="shared" si="2"/>
        <v>3812.7599999999993</v>
      </c>
      <c r="G40" s="34">
        <f t="shared" si="2"/>
        <v>2859.1499999999996</v>
      </c>
      <c r="H40" s="34">
        <f t="shared" si="2"/>
        <v>1896.0599999999997</v>
      </c>
      <c r="I40" s="9">
        <f t="shared" si="2"/>
        <v>1750.8799999999997</v>
      </c>
    </row>
    <row r="41" spans="1:9" ht="12" customHeight="1" x14ac:dyDescent="0.35">
      <c r="A41" s="15" t="s">
        <v>31</v>
      </c>
      <c r="B41" s="1"/>
      <c r="C41" s="16"/>
      <c r="D41" s="26">
        <v>0</v>
      </c>
      <c r="E41" s="34">
        <v>0</v>
      </c>
      <c r="F41" s="34">
        <v>0</v>
      </c>
      <c r="G41" s="34">
        <v>0</v>
      </c>
      <c r="H41" s="34">
        <v>0</v>
      </c>
      <c r="I41" s="9">
        <v>0</v>
      </c>
    </row>
    <row r="42" spans="1:9" ht="12" customHeight="1" x14ac:dyDescent="0.35">
      <c r="A42" s="15" t="s">
        <v>32</v>
      </c>
      <c r="B42" s="1"/>
      <c r="C42" s="16"/>
      <c r="D42" s="26">
        <v>1307.53</v>
      </c>
      <c r="E42" s="34">
        <v>1137.8800000000001</v>
      </c>
      <c r="F42" s="34">
        <v>1673.24</v>
      </c>
      <c r="G42" s="34">
        <v>1621.94</v>
      </c>
      <c r="H42" s="34">
        <v>888.93</v>
      </c>
      <c r="I42" s="9">
        <v>808.57</v>
      </c>
    </row>
    <row r="43" spans="1:9" ht="12" customHeight="1" x14ac:dyDescent="0.35">
      <c r="A43" s="15" t="s">
        <v>33</v>
      </c>
      <c r="B43" s="1"/>
      <c r="C43" s="16"/>
      <c r="D43" s="26">
        <v>264.36</v>
      </c>
      <c r="E43" s="34">
        <v>230.06</v>
      </c>
      <c r="F43" s="34">
        <v>338.23</v>
      </c>
      <c r="G43" s="34">
        <v>327.92</v>
      </c>
      <c r="H43" s="34">
        <v>179.72</v>
      </c>
      <c r="I43" s="9">
        <v>163.46</v>
      </c>
    </row>
    <row r="44" spans="1:9" ht="12" customHeight="1" x14ac:dyDescent="0.35">
      <c r="A44" s="15" t="s">
        <v>34</v>
      </c>
      <c r="B44" s="1"/>
      <c r="C44" s="16"/>
      <c r="D44" s="26">
        <v>1571.89</v>
      </c>
      <c r="E44" s="34">
        <v>1367.94</v>
      </c>
      <c r="F44" s="34">
        <v>2011.47</v>
      </c>
      <c r="G44" s="34">
        <v>1949.86</v>
      </c>
      <c r="H44" s="34">
        <v>1068.6500000000001</v>
      </c>
      <c r="I44" s="9">
        <v>972.03</v>
      </c>
    </row>
    <row r="45" spans="1:9" ht="12" customHeight="1" x14ac:dyDescent="0.35">
      <c r="A45" s="15" t="s">
        <v>35</v>
      </c>
      <c r="B45" s="1"/>
      <c r="C45" s="16"/>
      <c r="D45" s="26">
        <v>0</v>
      </c>
      <c r="E45" s="34">
        <v>0</v>
      </c>
      <c r="F45" s="34">
        <v>0</v>
      </c>
      <c r="G45" s="34">
        <v>0</v>
      </c>
      <c r="H45" s="34">
        <v>0</v>
      </c>
      <c r="I45" s="9">
        <v>0</v>
      </c>
    </row>
    <row r="46" spans="1:9" ht="12" customHeight="1" x14ac:dyDescent="0.35">
      <c r="A46" s="15" t="s">
        <v>36</v>
      </c>
      <c r="B46" s="1"/>
      <c r="C46" s="16"/>
      <c r="D46" s="26">
        <v>0</v>
      </c>
      <c r="E46" s="34">
        <v>0</v>
      </c>
      <c r="F46" s="34">
        <v>0</v>
      </c>
      <c r="G46" s="34">
        <v>0</v>
      </c>
      <c r="H46" s="34">
        <v>0</v>
      </c>
      <c r="I46" s="9">
        <v>0</v>
      </c>
    </row>
    <row r="47" spans="1:9" ht="12" customHeight="1" x14ac:dyDescent="0.35">
      <c r="A47" s="15" t="s">
        <v>37</v>
      </c>
      <c r="B47" s="1"/>
      <c r="C47" s="16"/>
      <c r="D47" s="26">
        <f t="shared" ref="D47:I47" si="3">D28+D42</f>
        <v>5379.380000000001</v>
      </c>
      <c r="E47" s="34">
        <f t="shared" si="3"/>
        <v>4677.17</v>
      </c>
      <c r="F47" s="34">
        <f t="shared" si="3"/>
        <v>9927.2899999999991</v>
      </c>
      <c r="G47" s="34">
        <f t="shared" si="3"/>
        <v>6780.0399999999991</v>
      </c>
      <c r="H47" s="34">
        <f t="shared" si="3"/>
        <v>3653.9199999999996</v>
      </c>
      <c r="I47" s="9">
        <f t="shared" si="3"/>
        <v>3323.56</v>
      </c>
    </row>
    <row r="48" spans="1:9" ht="12" customHeight="1" x14ac:dyDescent="0.35">
      <c r="A48" s="15" t="s">
        <v>38</v>
      </c>
      <c r="B48" s="1"/>
      <c r="C48" s="16"/>
      <c r="D48" s="26">
        <v>4066.99</v>
      </c>
      <c r="E48" s="34">
        <v>3539.29</v>
      </c>
      <c r="F48" s="34">
        <v>5101.2</v>
      </c>
      <c r="G48" s="34">
        <v>5044.95</v>
      </c>
      <c r="H48" s="34">
        <v>2764.99</v>
      </c>
      <c r="I48" s="9">
        <v>2514.9899999999998</v>
      </c>
    </row>
    <row r="49" spans="1:9" ht="12" customHeight="1" x14ac:dyDescent="0.35">
      <c r="A49" s="15" t="s">
        <v>39</v>
      </c>
      <c r="B49" s="1"/>
      <c r="C49" s="16"/>
      <c r="D49" s="26">
        <v>4066.99</v>
      </c>
      <c r="E49" s="34">
        <v>3539.29</v>
      </c>
      <c r="F49" s="34">
        <v>5101.2</v>
      </c>
      <c r="G49" s="34">
        <v>5044.95</v>
      </c>
      <c r="H49" s="34">
        <v>2764.99</v>
      </c>
      <c r="I49" s="9">
        <v>2514.9899999999998</v>
      </c>
    </row>
    <row r="50" spans="1:9" ht="12" customHeight="1" x14ac:dyDescent="0.35">
      <c r="A50" s="15" t="s">
        <v>40</v>
      </c>
      <c r="B50" s="1"/>
      <c r="C50" s="16"/>
      <c r="D50" s="26">
        <v>3764.99</v>
      </c>
      <c r="E50" s="34">
        <v>3185.34</v>
      </c>
      <c r="F50" s="34">
        <v>7681.67</v>
      </c>
      <c r="G50" s="34">
        <v>4165.01</v>
      </c>
      <c r="H50" s="34">
        <v>2512.44</v>
      </c>
      <c r="I50" s="9">
        <v>2287.69</v>
      </c>
    </row>
    <row r="51" spans="1:9" ht="12" customHeight="1" x14ac:dyDescent="0.35">
      <c r="A51" s="15" t="s">
        <v>41</v>
      </c>
      <c r="B51" s="1"/>
      <c r="C51" s="16"/>
      <c r="D51" s="26">
        <v>23.09</v>
      </c>
      <c r="E51" s="34">
        <v>0</v>
      </c>
      <c r="F51" s="34">
        <v>69.27</v>
      </c>
      <c r="G51" s="34">
        <v>481.91</v>
      </c>
      <c r="H51" s="34">
        <v>0</v>
      </c>
      <c r="I51" s="9">
        <v>0</v>
      </c>
    </row>
    <row r="52" spans="1:9" ht="12" customHeight="1" x14ac:dyDescent="0.35">
      <c r="A52" s="15" t="s">
        <v>42</v>
      </c>
      <c r="B52" s="1"/>
      <c r="C52" s="16"/>
      <c r="D52" s="26">
        <v>0</v>
      </c>
      <c r="E52" s="34">
        <v>0</v>
      </c>
      <c r="F52" s="34">
        <v>0</v>
      </c>
      <c r="G52" s="34">
        <v>0</v>
      </c>
      <c r="H52" s="34">
        <v>0</v>
      </c>
      <c r="I52" s="9">
        <v>0</v>
      </c>
    </row>
    <row r="53" spans="1:9" ht="12" customHeight="1" x14ac:dyDescent="0.35">
      <c r="A53" s="15" t="s">
        <v>43</v>
      </c>
      <c r="B53" s="1"/>
      <c r="C53" s="16"/>
      <c r="D53" s="25">
        <v>0</v>
      </c>
      <c r="E53" s="33">
        <v>0</v>
      </c>
      <c r="F53" s="33">
        <v>0</v>
      </c>
      <c r="G53" s="33">
        <v>0</v>
      </c>
      <c r="H53" s="33">
        <v>0</v>
      </c>
      <c r="I53" s="8">
        <v>0</v>
      </c>
    </row>
    <row r="54" spans="1:9" ht="12" customHeight="1" x14ac:dyDescent="0.35">
      <c r="A54" s="15" t="s">
        <v>44</v>
      </c>
      <c r="B54" s="1"/>
      <c r="C54" s="16"/>
      <c r="D54" s="26">
        <v>0</v>
      </c>
      <c r="E54" s="34">
        <v>0</v>
      </c>
      <c r="F54" s="34">
        <v>0</v>
      </c>
      <c r="G54" s="34">
        <v>0</v>
      </c>
      <c r="H54" s="34">
        <v>0</v>
      </c>
      <c r="I54" s="9">
        <v>0</v>
      </c>
    </row>
    <row r="55" spans="1:9" ht="12" customHeight="1" x14ac:dyDescent="0.35">
      <c r="A55" s="15" t="s">
        <v>45</v>
      </c>
      <c r="B55" s="1"/>
      <c r="C55" s="16"/>
      <c r="D55" s="26">
        <v>160</v>
      </c>
      <c r="E55" s="34">
        <v>160</v>
      </c>
      <c r="F55" s="34">
        <v>160</v>
      </c>
      <c r="G55" s="34">
        <v>160</v>
      </c>
      <c r="H55" s="34">
        <v>160</v>
      </c>
      <c r="I55" s="9">
        <v>160</v>
      </c>
    </row>
    <row r="56" spans="1:9" ht="12" customHeight="1" x14ac:dyDescent="0.35">
      <c r="A56" s="15" t="s">
        <v>46</v>
      </c>
      <c r="B56" s="1"/>
      <c r="C56" s="16"/>
      <c r="D56" s="26">
        <v>0</v>
      </c>
      <c r="E56" s="34">
        <v>0</v>
      </c>
      <c r="F56" s="34">
        <v>0</v>
      </c>
      <c r="G56" s="34">
        <v>0</v>
      </c>
      <c r="H56" s="34">
        <v>0</v>
      </c>
      <c r="I56" s="9">
        <v>0</v>
      </c>
    </row>
    <row r="57" spans="1:9" ht="12" customHeight="1" x14ac:dyDescent="0.35">
      <c r="A57" s="15" t="s">
        <v>47</v>
      </c>
      <c r="B57" s="1"/>
      <c r="C57" s="16"/>
      <c r="D57" s="26">
        <v>0</v>
      </c>
      <c r="E57" s="34">
        <v>0</v>
      </c>
      <c r="F57" s="34">
        <v>0</v>
      </c>
      <c r="G57" s="34">
        <v>0</v>
      </c>
      <c r="H57" s="34">
        <v>0</v>
      </c>
      <c r="I57" s="9">
        <v>0</v>
      </c>
    </row>
    <row r="58" spans="1:9" ht="12" customHeight="1" thickBot="1" x14ac:dyDescent="0.4">
      <c r="A58" s="17" t="s">
        <v>48</v>
      </c>
      <c r="B58" s="18"/>
      <c r="C58" s="19"/>
      <c r="D58" s="27">
        <v>30</v>
      </c>
      <c r="E58" s="35">
        <v>30</v>
      </c>
      <c r="F58" s="35">
        <v>30</v>
      </c>
      <c r="G58" s="35">
        <v>30</v>
      </c>
      <c r="H58" s="35">
        <v>30</v>
      </c>
      <c r="I58" s="10">
        <v>30</v>
      </c>
    </row>
  </sheetData>
  <pageMargins left="0" right="0" top="0" bottom="0.39370078740157499" header="0" footer="0"/>
  <pageSetup paperSize="9" fitToWidth="0" orientation="landscape"/>
  <headerFooter>
    <oddHeader>&amp;CIMPUTACIÓN DE COSTES&amp;RFecha listado: 29/01/26</oddHeader>
    <oddFooter>&amp;RPág.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7BE66-2893-4EE1-89A1-4B1283EE2E9D}">
  <sheetPr>
    <pageSetUpPr fitToPage="1"/>
  </sheetPr>
  <dimension ref="A1:D59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baseColWidth="10" defaultColWidth="8.7265625" defaultRowHeight="12" customHeight="1" x14ac:dyDescent="0.35"/>
  <cols>
    <col min="1" max="1" width="1.7265625" customWidth="1"/>
    <col min="2" max="2" width="4.7265625" customWidth="1"/>
    <col min="3" max="3" width="56.7265625" customWidth="1"/>
    <col min="4" max="4" width="24.7265625" customWidth="1"/>
  </cols>
  <sheetData>
    <row r="1" spans="1:4" ht="12" customHeight="1" x14ac:dyDescent="0.35">
      <c r="A1" s="1"/>
      <c r="B1" s="2"/>
      <c r="C1" s="2"/>
    </row>
    <row r="2" spans="1:4" ht="12" customHeight="1" x14ac:dyDescent="0.35">
      <c r="A2" s="1" t="s">
        <v>0</v>
      </c>
      <c r="B2" s="2"/>
      <c r="C2" s="2"/>
      <c r="D2" t="s">
        <v>52</v>
      </c>
    </row>
    <row r="3" spans="1:4" ht="12" customHeight="1" thickBot="1" x14ac:dyDescent="0.4">
      <c r="A3" s="1" t="s">
        <v>1</v>
      </c>
      <c r="B3" s="2"/>
      <c r="C3" s="2"/>
    </row>
    <row r="4" spans="1:4" ht="13" customHeight="1" thickTop="1" thickBot="1" x14ac:dyDescent="0.4">
      <c r="A4" s="1" t="s">
        <v>2</v>
      </c>
      <c r="B4" s="2"/>
      <c r="C4" s="6"/>
      <c r="D4" s="43" t="s">
        <v>49</v>
      </c>
    </row>
    <row r="5" spans="1:4" ht="12" customHeight="1" thickTop="1" x14ac:dyDescent="0.35">
      <c r="A5" s="1" t="s">
        <v>3</v>
      </c>
      <c r="B5" s="2"/>
      <c r="C5" s="6"/>
      <c r="D5" s="36" t="s">
        <v>86</v>
      </c>
    </row>
    <row r="6" spans="1:4" ht="12" customHeight="1" x14ac:dyDescent="0.35">
      <c r="A6" s="1"/>
      <c r="B6" s="2"/>
      <c r="C6" s="6"/>
      <c r="D6" s="37"/>
    </row>
    <row r="7" spans="1:4" ht="12" customHeight="1" thickBot="1" x14ac:dyDescent="0.4">
      <c r="A7" s="18"/>
      <c r="B7" s="4"/>
      <c r="C7" s="5"/>
      <c r="D7" s="38"/>
    </row>
    <row r="8" spans="1:4" ht="12" customHeight="1" thickTop="1" x14ac:dyDescent="0.35">
      <c r="A8" s="12"/>
      <c r="B8" s="13"/>
      <c r="C8" s="14"/>
      <c r="D8" s="39"/>
    </row>
    <row r="9" spans="1:4" ht="12" customHeight="1" x14ac:dyDescent="0.35">
      <c r="A9" s="15" t="s">
        <v>15</v>
      </c>
      <c r="B9" s="1"/>
      <c r="C9" s="16"/>
      <c r="D9" s="40"/>
    </row>
    <row r="10" spans="1:4" ht="12" customHeight="1" x14ac:dyDescent="0.35">
      <c r="A10" s="15"/>
      <c r="B10" s="1"/>
      <c r="C10" s="16"/>
      <c r="D10" s="40"/>
    </row>
    <row r="11" spans="1:4" ht="12" customHeight="1" x14ac:dyDescent="0.35">
      <c r="A11" s="15"/>
      <c r="B11" s="1">
        <v>1</v>
      </c>
      <c r="C11" s="16" t="s">
        <v>16</v>
      </c>
      <c r="D11" s="41">
        <f>SUM('3'!$D$11:$J$11)</f>
        <v>15120.649999999998</v>
      </c>
    </row>
    <row r="12" spans="1:4" ht="12" customHeight="1" x14ac:dyDescent="0.35">
      <c r="A12" s="15"/>
      <c r="B12" s="1">
        <v>3</v>
      </c>
      <c r="C12" s="16" t="s">
        <v>17</v>
      </c>
      <c r="D12" s="41">
        <f>SUM('3'!$D$12:$J$12)</f>
        <v>5205.6899999999996</v>
      </c>
    </row>
    <row r="13" spans="1:4" ht="12" customHeight="1" x14ac:dyDescent="0.35">
      <c r="A13" s="15"/>
      <c r="B13" s="1">
        <v>123</v>
      </c>
      <c r="C13" s="16" t="s">
        <v>18</v>
      </c>
      <c r="D13" s="41">
        <f>SUM('3'!$D$13:$J$13)</f>
        <v>2520.1000000000004</v>
      </c>
    </row>
    <row r="14" spans="1:4" ht="12" customHeight="1" x14ac:dyDescent="0.35">
      <c r="A14" s="15"/>
      <c r="B14" s="1">
        <v>181</v>
      </c>
      <c r="C14" s="16" t="s">
        <v>75</v>
      </c>
      <c r="D14" s="41">
        <f>SUM('3'!$D$14:$J$14)</f>
        <v>1024.3</v>
      </c>
    </row>
    <row r="15" spans="1:4" ht="12" customHeight="1" x14ac:dyDescent="0.35">
      <c r="A15" s="15"/>
      <c r="B15" s="1">
        <v>275</v>
      </c>
      <c r="C15" s="16" t="s">
        <v>19</v>
      </c>
      <c r="D15" s="41">
        <f>SUM('3'!$D$15:$J$15)</f>
        <v>90</v>
      </c>
    </row>
    <row r="16" spans="1:4" ht="12" customHeight="1" x14ac:dyDescent="0.35">
      <c r="A16" s="15"/>
      <c r="B16" s="1">
        <v>276</v>
      </c>
      <c r="C16" s="16" t="s">
        <v>20</v>
      </c>
      <c r="D16" s="41">
        <f>SUM('3'!$D$16:$J$16)</f>
        <v>-874.35</v>
      </c>
    </row>
    <row r="17" spans="1:4" ht="12" customHeight="1" x14ac:dyDescent="0.35">
      <c r="A17" s="15"/>
      <c r="B17" s="1">
        <v>277</v>
      </c>
      <c r="C17" s="16" t="s">
        <v>76</v>
      </c>
      <c r="D17" s="41">
        <f>SUM('3'!$D$17:$J$17)</f>
        <v>-315.81</v>
      </c>
    </row>
    <row r="18" spans="1:4" ht="12" customHeight="1" x14ac:dyDescent="0.35">
      <c r="A18" s="15"/>
      <c r="B18" s="1">
        <v>282</v>
      </c>
      <c r="C18" s="16" t="s">
        <v>77</v>
      </c>
      <c r="D18" s="41">
        <f>SUM('3'!$D$18:$J$18)</f>
        <v>458.82</v>
      </c>
    </row>
    <row r="19" spans="1:4" ht="12" customHeight="1" x14ac:dyDescent="0.35">
      <c r="A19" s="15"/>
      <c r="B19" s="1">
        <v>337</v>
      </c>
      <c r="C19" s="16" t="s">
        <v>21</v>
      </c>
      <c r="D19" s="41">
        <f>SUM('3'!$D$19:$J$19)</f>
        <v>874.35</v>
      </c>
    </row>
    <row r="20" spans="1:4" ht="12" customHeight="1" x14ac:dyDescent="0.35">
      <c r="A20" s="15"/>
      <c r="B20" s="1">
        <v>339</v>
      </c>
      <c r="C20" s="16" t="s">
        <v>78</v>
      </c>
      <c r="D20" s="41">
        <f>SUM('3'!$D$20:$J$20)</f>
        <v>435.34000000000003</v>
      </c>
    </row>
    <row r="21" spans="1:4" ht="12" customHeight="1" x14ac:dyDescent="0.35">
      <c r="A21" s="15"/>
      <c r="B21" s="1">
        <v>343</v>
      </c>
      <c r="C21" s="16" t="s">
        <v>79</v>
      </c>
      <c r="D21" s="41">
        <f>SUM('3'!$D$21:$J$21)</f>
        <v>315.81</v>
      </c>
    </row>
    <row r="22" spans="1:4" ht="12" customHeight="1" x14ac:dyDescent="0.35">
      <c r="A22" s="15"/>
      <c r="B22" s="1">
        <v>345</v>
      </c>
      <c r="C22" s="16" t="s">
        <v>80</v>
      </c>
      <c r="D22" s="41">
        <f>SUM('3'!$D$22:$J$22)</f>
        <v>158.26000000000002</v>
      </c>
    </row>
    <row r="23" spans="1:4" ht="12" customHeight="1" x14ac:dyDescent="0.35">
      <c r="A23" s="15"/>
      <c r="B23" s="1">
        <v>353</v>
      </c>
      <c r="C23" s="16" t="s">
        <v>81</v>
      </c>
      <c r="D23" s="41">
        <f>SUM('3'!$D$23:$J$23)</f>
        <v>208.35000000000002</v>
      </c>
    </row>
    <row r="24" spans="1:4" ht="12" customHeight="1" x14ac:dyDescent="0.35">
      <c r="A24" s="15"/>
      <c r="B24" s="1">
        <v>356</v>
      </c>
      <c r="C24" s="16" t="s">
        <v>82</v>
      </c>
      <c r="D24" s="41">
        <f>SUM('3'!$D$24:$J$24)</f>
        <v>115.45</v>
      </c>
    </row>
    <row r="25" spans="1:4" ht="12" customHeight="1" x14ac:dyDescent="0.35">
      <c r="A25" s="15"/>
      <c r="B25" s="1">
        <v>398</v>
      </c>
      <c r="C25" s="16" t="s">
        <v>22</v>
      </c>
      <c r="D25" s="41">
        <f>SUM('3'!$D$25:$J$25)</f>
        <v>826.56</v>
      </c>
    </row>
    <row r="26" spans="1:4" ht="12" customHeight="1" x14ac:dyDescent="0.35">
      <c r="A26" s="15"/>
      <c r="B26" s="1">
        <v>988</v>
      </c>
      <c r="C26" s="16" t="s">
        <v>83</v>
      </c>
      <c r="D26" s="41">
        <f>SUM('3'!$D$26:$J$26)</f>
        <v>139.75</v>
      </c>
    </row>
    <row r="27" spans="1:4" ht="12" customHeight="1" x14ac:dyDescent="0.35">
      <c r="A27" s="15"/>
      <c r="B27" s="1"/>
      <c r="C27" s="16"/>
      <c r="D27" s="41"/>
    </row>
    <row r="28" spans="1:4" ht="12" customHeight="1" x14ac:dyDescent="0.35">
      <c r="A28" s="15" t="s">
        <v>23</v>
      </c>
      <c r="B28" s="1"/>
      <c r="C28" s="16"/>
      <c r="D28" s="41">
        <f>SUM('3'!$D$28:$J$28)</f>
        <v>26303.269999999997</v>
      </c>
    </row>
    <row r="29" spans="1:4" ht="12" customHeight="1" x14ac:dyDescent="0.35">
      <c r="A29" s="15"/>
      <c r="B29" s="1"/>
      <c r="C29" s="16"/>
      <c r="D29" s="41"/>
    </row>
    <row r="30" spans="1:4" ht="12" customHeight="1" x14ac:dyDescent="0.35">
      <c r="A30" s="15"/>
      <c r="B30" s="1">
        <v>768</v>
      </c>
      <c r="C30" s="16" t="s">
        <v>84</v>
      </c>
      <c r="D30" s="41">
        <f>SUM('3'!$D$30:$J$30)</f>
        <v>1119.4000000000001</v>
      </c>
    </row>
    <row r="31" spans="1:4" ht="12" customHeight="1" x14ac:dyDescent="0.35">
      <c r="A31" s="15"/>
      <c r="B31" s="1">
        <v>789</v>
      </c>
      <c r="C31" s="16" t="s">
        <v>24</v>
      </c>
      <c r="D31" s="41">
        <f>SUM('3'!$D$31:$J$31)</f>
        <v>2566.3800000000006</v>
      </c>
    </row>
    <row r="32" spans="1:4" ht="12" customHeight="1" x14ac:dyDescent="0.35">
      <c r="A32" s="15"/>
      <c r="B32" s="1">
        <v>989</v>
      </c>
      <c r="C32" s="16" t="s">
        <v>85</v>
      </c>
      <c r="D32" s="41">
        <f>SUM('3'!$D$32:$J$32)</f>
        <v>139.75</v>
      </c>
    </row>
    <row r="33" spans="1:4" ht="12" customHeight="1" x14ac:dyDescent="0.35">
      <c r="A33" s="15"/>
      <c r="B33" s="1">
        <v>995</v>
      </c>
      <c r="C33" s="16" t="s">
        <v>25</v>
      </c>
      <c r="D33" s="41">
        <f>SUM('3'!$D$33:$J$33)</f>
        <v>1123.72</v>
      </c>
    </row>
    <row r="34" spans="1:4" ht="12" customHeight="1" x14ac:dyDescent="0.35">
      <c r="A34" s="15"/>
      <c r="B34" s="1">
        <v>996</v>
      </c>
      <c r="C34" s="16" t="s">
        <v>26</v>
      </c>
      <c r="D34" s="41">
        <f>SUM('3'!$D$34:$J$34)</f>
        <v>23.019999999999996</v>
      </c>
    </row>
    <row r="35" spans="1:4" ht="12" customHeight="1" x14ac:dyDescent="0.35">
      <c r="A35" s="15"/>
      <c r="B35" s="1">
        <v>997</v>
      </c>
      <c r="C35" s="16" t="s">
        <v>27</v>
      </c>
      <c r="D35" s="41">
        <f>SUM('3'!$D$35:$J$35)</f>
        <v>357.01000000000005</v>
      </c>
    </row>
    <row r="36" spans="1:4" ht="12" customHeight="1" x14ac:dyDescent="0.35">
      <c r="A36" s="15"/>
      <c r="B36" s="1">
        <v>999</v>
      </c>
      <c r="C36" s="16" t="s">
        <v>28</v>
      </c>
      <c r="D36" s="41">
        <f>SUM('3'!$D$36:$J$36)</f>
        <v>5631.06</v>
      </c>
    </row>
    <row r="37" spans="1:4" ht="12" customHeight="1" x14ac:dyDescent="0.35">
      <c r="A37" s="15"/>
      <c r="B37" s="1"/>
      <c r="C37" s="16"/>
      <c r="D37" s="41"/>
    </row>
    <row r="38" spans="1:4" ht="12" customHeight="1" x14ac:dyDescent="0.35">
      <c r="A38" s="15" t="s">
        <v>29</v>
      </c>
      <c r="B38" s="1"/>
      <c r="C38" s="16"/>
      <c r="D38" s="41">
        <f>SUM('3'!$D$38:$J$38)</f>
        <v>10960.34</v>
      </c>
    </row>
    <row r="39" spans="1:4" ht="12" customHeight="1" x14ac:dyDescent="0.35">
      <c r="A39" s="15"/>
      <c r="B39" s="1"/>
      <c r="C39" s="16"/>
      <c r="D39" s="41"/>
    </row>
    <row r="40" spans="1:4" ht="12" customHeight="1" x14ac:dyDescent="0.35">
      <c r="A40" s="15" t="s">
        <v>30</v>
      </c>
      <c r="B40" s="1"/>
      <c r="C40" s="16"/>
      <c r="D40" s="41">
        <f>SUM('3'!$D$40:$J$40)</f>
        <v>15342.929999999998</v>
      </c>
    </row>
    <row r="41" spans="1:4" ht="12" customHeight="1" x14ac:dyDescent="0.35">
      <c r="A41" s="15" t="s">
        <v>31</v>
      </c>
      <c r="B41" s="1"/>
      <c r="C41" s="16"/>
      <c r="D41" s="41">
        <f>SUM('3'!$D$41:$J$41)</f>
        <v>0</v>
      </c>
    </row>
    <row r="42" spans="1:4" ht="12" customHeight="1" x14ac:dyDescent="0.35">
      <c r="A42" s="15" t="s">
        <v>32</v>
      </c>
      <c r="B42" s="1"/>
      <c r="C42" s="16"/>
      <c r="D42" s="41">
        <f>SUM('3'!$D$42:$J$42)</f>
        <v>7438.09</v>
      </c>
    </row>
    <row r="43" spans="1:4" ht="12" customHeight="1" x14ac:dyDescent="0.35">
      <c r="A43" s="15" t="s">
        <v>33</v>
      </c>
      <c r="B43" s="1"/>
      <c r="C43" s="16"/>
      <c r="D43" s="41">
        <f>SUM('3'!$D$43:$J$43)</f>
        <v>1503.7500000000002</v>
      </c>
    </row>
    <row r="44" spans="1:4" ht="12" customHeight="1" x14ac:dyDescent="0.35">
      <c r="A44" s="15" t="s">
        <v>34</v>
      </c>
      <c r="B44" s="1"/>
      <c r="C44" s="16"/>
      <c r="D44" s="41">
        <f>SUM('3'!$D$44:$J$44)</f>
        <v>8941.84</v>
      </c>
    </row>
    <row r="45" spans="1:4" ht="12" customHeight="1" x14ac:dyDescent="0.35">
      <c r="A45" s="15" t="s">
        <v>35</v>
      </c>
      <c r="B45" s="1"/>
      <c r="C45" s="16"/>
      <c r="D45" s="41">
        <f>SUM('3'!$D$45:$J$45)</f>
        <v>0</v>
      </c>
    </row>
    <row r="46" spans="1:4" ht="12" customHeight="1" x14ac:dyDescent="0.35">
      <c r="A46" s="15" t="s">
        <v>36</v>
      </c>
      <c r="B46" s="1"/>
      <c r="C46" s="16"/>
      <c r="D46" s="41">
        <f>SUM('3'!$D$46:$J$46)</f>
        <v>0</v>
      </c>
    </row>
    <row r="47" spans="1:4" ht="12" customHeight="1" x14ac:dyDescent="0.35">
      <c r="A47" s="15" t="s">
        <v>37</v>
      </c>
      <c r="B47" s="1"/>
      <c r="C47" s="16"/>
      <c r="D47" s="41">
        <f>SUM('3'!$D$47:$J$47)</f>
        <v>33741.359999999993</v>
      </c>
    </row>
    <row r="48" spans="1:4" ht="12" customHeight="1" x14ac:dyDescent="0.35">
      <c r="A48" s="15" t="s">
        <v>38</v>
      </c>
      <c r="B48" s="1"/>
      <c r="C48" s="16"/>
      <c r="D48" s="41">
        <f>SUM('3'!$D$48:$J$48)</f>
        <v>23032.409999999996</v>
      </c>
    </row>
    <row r="49" spans="1:4" ht="12" customHeight="1" x14ac:dyDescent="0.35">
      <c r="A49" s="15" t="s">
        <v>39</v>
      </c>
      <c r="B49" s="1"/>
      <c r="C49" s="16"/>
      <c r="D49" s="41">
        <f>SUM('3'!$D$49:$J$49)</f>
        <v>23032.409999999996</v>
      </c>
    </row>
    <row r="50" spans="1:4" ht="12" customHeight="1" x14ac:dyDescent="0.35">
      <c r="A50" s="15" t="s">
        <v>40</v>
      </c>
      <c r="B50" s="1"/>
      <c r="C50" s="16"/>
      <c r="D50" s="41">
        <f>SUM('3'!$D$50:$J$50)</f>
        <v>23597.14</v>
      </c>
    </row>
    <row r="51" spans="1:4" ht="12" customHeight="1" x14ac:dyDescent="0.35">
      <c r="A51" s="15" t="s">
        <v>41</v>
      </c>
      <c r="B51" s="1"/>
      <c r="C51" s="16"/>
      <c r="D51" s="41">
        <f>SUM('3'!$D$51:$J$51)</f>
        <v>574.27</v>
      </c>
    </row>
    <row r="52" spans="1:4" ht="12" customHeight="1" x14ac:dyDescent="0.35">
      <c r="A52" s="15" t="s">
        <v>42</v>
      </c>
      <c r="B52" s="1"/>
      <c r="C52" s="16"/>
      <c r="D52" s="41">
        <f>SUM('3'!$D$52:$J$52)</f>
        <v>0</v>
      </c>
    </row>
    <row r="53" spans="1:4" ht="12" customHeight="1" x14ac:dyDescent="0.35">
      <c r="A53" s="15" t="s">
        <v>43</v>
      </c>
      <c r="B53" s="1"/>
      <c r="C53" s="16"/>
      <c r="D53" s="40">
        <f>SUM('3'!$D$53:$J$53)</f>
        <v>0</v>
      </c>
    </row>
    <row r="54" spans="1:4" ht="12" customHeight="1" x14ac:dyDescent="0.35">
      <c r="A54" s="15" t="s">
        <v>44</v>
      </c>
      <c r="B54" s="1"/>
      <c r="C54" s="16"/>
      <c r="D54" s="41">
        <f>SUM('3'!$D$54:$J$54)</f>
        <v>0</v>
      </c>
    </row>
    <row r="55" spans="1:4" ht="12" customHeight="1" x14ac:dyDescent="0.35">
      <c r="A55" s="15" t="s">
        <v>45</v>
      </c>
      <c r="B55" s="1"/>
      <c r="C55" s="16"/>
      <c r="D55" s="41">
        <f>SUM('3'!$D$55:$J$55)</f>
        <v>960</v>
      </c>
    </row>
    <row r="56" spans="1:4" ht="12" customHeight="1" x14ac:dyDescent="0.35">
      <c r="A56" s="15" t="s">
        <v>46</v>
      </c>
      <c r="B56" s="1"/>
      <c r="C56" s="16"/>
      <c r="D56" s="41">
        <f>SUM('3'!$D$56:$J$56)</f>
        <v>0</v>
      </c>
    </row>
    <row r="57" spans="1:4" ht="12" customHeight="1" x14ac:dyDescent="0.35">
      <c r="A57" s="15" t="s">
        <v>47</v>
      </c>
      <c r="B57" s="1"/>
      <c r="C57" s="16"/>
      <c r="D57" s="41">
        <f>SUM('3'!$D$57:$J$57)</f>
        <v>0</v>
      </c>
    </row>
    <row r="58" spans="1:4" ht="12" customHeight="1" x14ac:dyDescent="0.35">
      <c r="A58" s="15" t="s">
        <v>48</v>
      </c>
      <c r="B58" s="1"/>
      <c r="C58" s="16"/>
      <c r="D58" s="41">
        <f>SUM('3'!$D$58:$J$58)</f>
        <v>180</v>
      </c>
    </row>
    <row r="59" spans="1:4" ht="12" customHeight="1" thickBot="1" x14ac:dyDescent="0.4">
      <c r="A59" s="17" t="s">
        <v>51</v>
      </c>
      <c r="B59" s="18"/>
      <c r="C59" s="19"/>
      <c r="D59" s="42">
        <v>6</v>
      </c>
    </row>
  </sheetData>
  <pageMargins left="0" right="0" top="0" bottom="0.39370078740157499" header="0" footer="0"/>
  <pageSetup paperSize="9" fitToWidth="0" orientation="landscape"/>
  <headerFooter>
    <oddHeader>&amp;CIMPUTACIÓN DE COSTES&amp;RFecha listado: 29/01/26</oddHeader>
    <oddFooter>&amp;RPág.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E5CE7-5254-4A4E-8CCA-27F861E2DE67}">
  <sheetPr>
    <pageSetUpPr fitToPage="1"/>
  </sheetPr>
  <dimension ref="A1:AX70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baseColWidth="10" defaultColWidth="8.7265625" defaultRowHeight="12" customHeight="1" x14ac:dyDescent="0.35"/>
  <cols>
    <col min="1" max="1" width="1.7265625" customWidth="1"/>
    <col min="2" max="2" width="4.7265625" customWidth="1"/>
    <col min="3" max="3" width="56.7265625" customWidth="1"/>
    <col min="4" max="50" width="12.7265625" customWidth="1"/>
  </cols>
  <sheetData>
    <row r="1" spans="1:50" ht="12" customHeight="1" x14ac:dyDescent="0.35">
      <c r="A1" s="1"/>
      <c r="B1" s="2"/>
      <c r="C1" s="2"/>
    </row>
    <row r="2" spans="1:50" ht="12" customHeight="1" x14ac:dyDescent="0.35">
      <c r="A2" s="1" t="s">
        <v>0</v>
      </c>
      <c r="B2" s="2"/>
      <c r="C2" s="2"/>
      <c r="D2" t="s">
        <v>87</v>
      </c>
    </row>
    <row r="3" spans="1:50" ht="12" customHeight="1" thickBot="1" x14ac:dyDescent="0.4">
      <c r="A3" s="1" t="s">
        <v>1</v>
      </c>
      <c r="B3" s="2"/>
      <c r="C3" s="2"/>
    </row>
    <row r="4" spans="1:50" ht="13" customHeight="1" thickTop="1" thickBot="1" x14ac:dyDescent="0.4">
      <c r="A4" s="1" t="s">
        <v>2</v>
      </c>
      <c r="B4" s="2"/>
      <c r="C4" s="6"/>
      <c r="D4" s="20" t="s">
        <v>88</v>
      </c>
      <c r="E4" s="28" t="s">
        <v>89</v>
      </c>
      <c r="F4" s="28" t="s">
        <v>90</v>
      </c>
      <c r="G4" s="28" t="s">
        <v>91</v>
      </c>
      <c r="H4" s="28" t="s">
        <v>92</v>
      </c>
      <c r="I4" s="28" t="s">
        <v>93</v>
      </c>
      <c r="J4" s="28" t="s">
        <v>94</v>
      </c>
      <c r="K4" s="28" t="s">
        <v>95</v>
      </c>
      <c r="L4" s="28" t="s">
        <v>96</v>
      </c>
      <c r="M4" s="28" t="s">
        <v>97</v>
      </c>
      <c r="N4" s="28" t="s">
        <v>98</v>
      </c>
      <c r="O4" s="28" t="s">
        <v>99</v>
      </c>
      <c r="P4" s="28" t="s">
        <v>100</v>
      </c>
      <c r="Q4" s="28" t="s">
        <v>101</v>
      </c>
      <c r="R4" s="28" t="s">
        <v>102</v>
      </c>
      <c r="S4" s="28" t="s">
        <v>103</v>
      </c>
      <c r="T4" s="28" t="s">
        <v>104</v>
      </c>
      <c r="U4" s="28" t="s">
        <v>105</v>
      </c>
      <c r="V4" s="28" t="s">
        <v>106</v>
      </c>
      <c r="W4" s="28" t="s">
        <v>107</v>
      </c>
      <c r="X4" s="28" t="s">
        <v>108</v>
      </c>
      <c r="Y4" s="28" t="s">
        <v>109</v>
      </c>
      <c r="Z4" s="28" t="s">
        <v>110</v>
      </c>
      <c r="AA4" s="28" t="s">
        <v>111</v>
      </c>
      <c r="AB4" s="28" t="s">
        <v>112</v>
      </c>
      <c r="AC4" s="28" t="s">
        <v>113</v>
      </c>
      <c r="AD4" s="28" t="s">
        <v>114</v>
      </c>
      <c r="AE4" s="28" t="s">
        <v>115</v>
      </c>
      <c r="AF4" s="28" t="s">
        <v>116</v>
      </c>
      <c r="AG4" s="28" t="s">
        <v>117</v>
      </c>
      <c r="AH4" s="28" t="s">
        <v>118</v>
      </c>
      <c r="AI4" s="28" t="s">
        <v>119</v>
      </c>
      <c r="AJ4" s="28" t="s">
        <v>120</v>
      </c>
      <c r="AK4" s="28" t="s">
        <v>121</v>
      </c>
      <c r="AL4" s="28" t="s">
        <v>122</v>
      </c>
      <c r="AM4" s="28" t="s">
        <v>123</v>
      </c>
      <c r="AN4" s="28" t="s">
        <v>124</v>
      </c>
      <c r="AO4" s="28" t="s">
        <v>125</v>
      </c>
      <c r="AP4" s="28" t="s">
        <v>126</v>
      </c>
      <c r="AQ4" s="28" t="s">
        <v>127</v>
      </c>
      <c r="AR4" s="28" t="s">
        <v>128</v>
      </c>
      <c r="AS4" s="28" t="s">
        <v>129</v>
      </c>
      <c r="AT4" s="28" t="s">
        <v>130</v>
      </c>
      <c r="AU4" s="28" t="s">
        <v>131</v>
      </c>
      <c r="AV4" s="28" t="s">
        <v>132</v>
      </c>
      <c r="AW4" s="28" t="s">
        <v>133</v>
      </c>
      <c r="AX4" s="11" t="s">
        <v>134</v>
      </c>
    </row>
    <row r="5" spans="1:50" ht="12" customHeight="1" thickTop="1" x14ac:dyDescent="0.35">
      <c r="A5" s="1" t="s">
        <v>3</v>
      </c>
      <c r="B5" s="2"/>
      <c r="C5" s="6"/>
      <c r="D5" s="21" t="s">
        <v>64</v>
      </c>
      <c r="E5" s="29" t="s">
        <v>135</v>
      </c>
      <c r="F5" s="29" t="s">
        <v>136</v>
      </c>
      <c r="G5" s="29" t="s">
        <v>137</v>
      </c>
      <c r="H5" s="29" t="s">
        <v>138</v>
      </c>
      <c r="I5" s="29" t="s">
        <v>139</v>
      </c>
      <c r="J5" s="29" t="s">
        <v>140</v>
      </c>
      <c r="K5" s="29" t="s">
        <v>141</v>
      </c>
      <c r="L5" s="29" t="s">
        <v>142</v>
      </c>
      <c r="M5" s="29" t="s">
        <v>143</v>
      </c>
      <c r="N5" s="29" t="s">
        <v>144</v>
      </c>
      <c r="O5" s="29" t="s">
        <v>145</v>
      </c>
      <c r="P5" s="29" t="s">
        <v>146</v>
      </c>
      <c r="Q5" s="29" t="s">
        <v>147</v>
      </c>
      <c r="R5" s="29" t="s">
        <v>148</v>
      </c>
      <c r="S5" s="29" t="s">
        <v>149</v>
      </c>
      <c r="T5" s="29" t="s">
        <v>150</v>
      </c>
      <c r="U5" s="29" t="s">
        <v>151</v>
      </c>
      <c r="V5" s="29" t="s">
        <v>152</v>
      </c>
      <c r="W5" s="29" t="s">
        <v>153</v>
      </c>
      <c r="X5" s="29" t="s">
        <v>154</v>
      </c>
      <c r="Y5" s="29" t="s">
        <v>155</v>
      </c>
      <c r="Z5" s="29" t="s">
        <v>140</v>
      </c>
      <c r="AA5" s="29" t="s">
        <v>135</v>
      </c>
      <c r="AB5" s="29" t="s">
        <v>156</v>
      </c>
      <c r="AC5" s="29" t="s">
        <v>157</v>
      </c>
      <c r="AD5" s="29" t="s">
        <v>158</v>
      </c>
      <c r="AE5" s="29" t="s">
        <v>159</v>
      </c>
      <c r="AF5" s="29" t="s">
        <v>160</v>
      </c>
      <c r="AG5" s="29" t="s">
        <v>161</v>
      </c>
      <c r="AH5" s="29" t="s">
        <v>162</v>
      </c>
      <c r="AI5" s="29" t="s">
        <v>163</v>
      </c>
      <c r="AJ5" s="29" t="s">
        <v>164</v>
      </c>
      <c r="AK5" s="29" t="s">
        <v>165</v>
      </c>
      <c r="AL5" s="29" t="s">
        <v>70</v>
      </c>
      <c r="AM5" s="29" t="s">
        <v>166</v>
      </c>
      <c r="AN5" s="29" t="s">
        <v>167</v>
      </c>
      <c r="AO5" s="29" t="s">
        <v>142</v>
      </c>
      <c r="AP5" s="29" t="s">
        <v>168</v>
      </c>
      <c r="AQ5" s="29" t="s">
        <v>169</v>
      </c>
      <c r="AR5" s="29" t="s">
        <v>170</v>
      </c>
      <c r="AS5" s="29" t="s">
        <v>148</v>
      </c>
      <c r="AT5" s="29" t="s">
        <v>171</v>
      </c>
      <c r="AU5" s="29" t="s">
        <v>172</v>
      </c>
      <c r="AV5" s="29" t="s">
        <v>173</v>
      </c>
      <c r="AW5" s="29" t="s">
        <v>174</v>
      </c>
      <c r="AX5" s="3" t="s">
        <v>175</v>
      </c>
    </row>
    <row r="6" spans="1:50" ht="12" customHeight="1" x14ac:dyDescent="0.35">
      <c r="A6" s="1"/>
      <c r="B6" s="2"/>
      <c r="C6" s="6"/>
      <c r="D6" s="22" t="s">
        <v>176</v>
      </c>
      <c r="E6" s="30" t="s">
        <v>177</v>
      </c>
      <c r="F6" s="30" t="s">
        <v>178</v>
      </c>
      <c r="G6" s="30" t="s">
        <v>179</v>
      </c>
      <c r="H6" s="30" t="s">
        <v>180</v>
      </c>
      <c r="I6" s="30" t="s">
        <v>181</v>
      </c>
      <c r="J6" s="30" t="s">
        <v>182</v>
      </c>
      <c r="K6" s="30" t="s">
        <v>183</v>
      </c>
      <c r="L6" s="30" t="s">
        <v>143</v>
      </c>
      <c r="M6" s="30" t="s">
        <v>184</v>
      </c>
      <c r="N6" s="30" t="s">
        <v>185</v>
      </c>
      <c r="O6" s="30" t="s">
        <v>186</v>
      </c>
      <c r="P6" s="30" t="s">
        <v>187</v>
      </c>
      <c r="Q6" s="30" t="s">
        <v>188</v>
      </c>
      <c r="R6" s="30" t="s">
        <v>189</v>
      </c>
      <c r="S6" s="30" t="s">
        <v>190</v>
      </c>
      <c r="T6" s="30" t="s">
        <v>143</v>
      </c>
      <c r="U6" s="30" t="s">
        <v>191</v>
      </c>
      <c r="V6" s="30" t="s">
        <v>192</v>
      </c>
      <c r="W6" s="30" t="s">
        <v>193</v>
      </c>
      <c r="X6" s="30" t="s">
        <v>194</v>
      </c>
      <c r="Y6" s="30" t="s">
        <v>195</v>
      </c>
      <c r="Z6" s="30" t="s">
        <v>196</v>
      </c>
      <c r="AA6" s="30" t="s">
        <v>177</v>
      </c>
      <c r="AB6" s="30" t="s">
        <v>197</v>
      </c>
      <c r="AC6" s="30" t="s">
        <v>198</v>
      </c>
      <c r="AD6" s="30" t="s">
        <v>199</v>
      </c>
      <c r="AE6" s="30" t="s">
        <v>200</v>
      </c>
      <c r="AF6" s="30" t="s">
        <v>201</v>
      </c>
      <c r="AG6" s="30" t="s">
        <v>202</v>
      </c>
      <c r="AH6" s="30" t="s">
        <v>203</v>
      </c>
      <c r="AI6" s="30" t="s">
        <v>204</v>
      </c>
      <c r="AJ6" s="30" t="s">
        <v>205</v>
      </c>
      <c r="AK6" s="30" t="s">
        <v>206</v>
      </c>
      <c r="AL6" s="30" t="s">
        <v>207</v>
      </c>
      <c r="AM6" s="30" t="s">
        <v>208</v>
      </c>
      <c r="AN6" s="30" t="s">
        <v>209</v>
      </c>
      <c r="AO6" s="30" t="s">
        <v>205</v>
      </c>
      <c r="AP6" s="30" t="s">
        <v>209</v>
      </c>
      <c r="AQ6" s="30" t="s">
        <v>210</v>
      </c>
      <c r="AR6" s="30" t="s">
        <v>211</v>
      </c>
      <c r="AS6" s="30" t="s">
        <v>209</v>
      </c>
      <c r="AT6" s="30" t="s">
        <v>139</v>
      </c>
      <c r="AU6" s="30" t="s">
        <v>212</v>
      </c>
      <c r="AV6" s="30" t="s">
        <v>213</v>
      </c>
      <c r="AW6" s="30" t="s">
        <v>214</v>
      </c>
      <c r="AX6" s="6" t="s">
        <v>215</v>
      </c>
    </row>
    <row r="7" spans="1:50" ht="12" customHeight="1" thickBot="1" x14ac:dyDescent="0.4">
      <c r="A7" s="18"/>
      <c r="B7" s="4"/>
      <c r="C7" s="5"/>
      <c r="D7" s="23" t="s">
        <v>216</v>
      </c>
      <c r="E7" s="31" t="s">
        <v>217</v>
      </c>
      <c r="F7" s="31" t="s">
        <v>218</v>
      </c>
      <c r="G7" s="31" t="s">
        <v>219</v>
      </c>
      <c r="H7" s="31"/>
      <c r="I7" s="31" t="s">
        <v>220</v>
      </c>
      <c r="J7" s="31" t="s">
        <v>221</v>
      </c>
      <c r="K7" s="31" t="s">
        <v>222</v>
      </c>
      <c r="L7" s="31" t="s">
        <v>223</v>
      </c>
      <c r="M7" s="31" t="s">
        <v>224</v>
      </c>
      <c r="N7" s="31" t="s">
        <v>225</v>
      </c>
      <c r="O7" s="31" t="s">
        <v>226</v>
      </c>
      <c r="P7" s="31" t="s">
        <v>227</v>
      </c>
      <c r="Q7" s="31" t="s">
        <v>228</v>
      </c>
      <c r="R7" s="31" t="s">
        <v>229</v>
      </c>
      <c r="S7" s="31" t="s">
        <v>230</v>
      </c>
      <c r="T7" s="31" t="s">
        <v>231</v>
      </c>
      <c r="U7" s="31" t="s">
        <v>232</v>
      </c>
      <c r="V7" s="31" t="s">
        <v>233</v>
      </c>
      <c r="W7" s="31" t="s">
        <v>234</v>
      </c>
      <c r="X7" s="31" t="s">
        <v>235</v>
      </c>
      <c r="Y7" s="31" t="s">
        <v>236</v>
      </c>
      <c r="Z7" s="31" t="s">
        <v>237</v>
      </c>
      <c r="AA7" s="31" t="s">
        <v>238</v>
      </c>
      <c r="AB7" s="31" t="s">
        <v>239</v>
      </c>
      <c r="AC7" s="31" t="s">
        <v>240</v>
      </c>
      <c r="AD7" s="31" t="s">
        <v>241</v>
      </c>
      <c r="AE7" s="31" t="s">
        <v>242</v>
      </c>
      <c r="AF7" s="31" t="s">
        <v>243</v>
      </c>
      <c r="AG7" s="31" t="s">
        <v>244</v>
      </c>
      <c r="AH7" s="31" t="s">
        <v>245</v>
      </c>
      <c r="AI7" s="31" t="s">
        <v>246</v>
      </c>
      <c r="AJ7" s="31" t="s">
        <v>247</v>
      </c>
      <c r="AK7" s="31" t="s">
        <v>248</v>
      </c>
      <c r="AL7" s="31" t="s">
        <v>249</v>
      </c>
      <c r="AM7" s="31" t="s">
        <v>250</v>
      </c>
      <c r="AN7" s="31" t="s">
        <v>251</v>
      </c>
      <c r="AO7" s="31" t="s">
        <v>252</v>
      </c>
      <c r="AP7" s="31" t="s">
        <v>253</v>
      </c>
      <c r="AQ7" s="31"/>
      <c r="AR7" s="31" t="s">
        <v>254</v>
      </c>
      <c r="AS7" s="31" t="s">
        <v>255</v>
      </c>
      <c r="AT7" s="31" t="s">
        <v>256</v>
      </c>
      <c r="AU7" s="31" t="s">
        <v>257</v>
      </c>
      <c r="AV7" s="31" t="s">
        <v>258</v>
      </c>
      <c r="AW7" s="31" t="s">
        <v>259</v>
      </c>
      <c r="AX7" s="5" t="s">
        <v>260</v>
      </c>
    </row>
    <row r="8" spans="1:50" ht="12" customHeight="1" thickTop="1" x14ac:dyDescent="0.35">
      <c r="A8" s="12"/>
      <c r="B8" s="13"/>
      <c r="C8" s="14"/>
      <c r="D8" s="24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7"/>
    </row>
    <row r="9" spans="1:50" ht="12" customHeight="1" x14ac:dyDescent="0.35">
      <c r="A9" s="15" t="s">
        <v>15</v>
      </c>
      <c r="B9" s="1"/>
      <c r="C9" s="16"/>
      <c r="D9" s="25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8"/>
    </row>
    <row r="10" spans="1:50" ht="12" customHeight="1" x14ac:dyDescent="0.35">
      <c r="A10" s="15"/>
      <c r="B10" s="1"/>
      <c r="C10" s="16"/>
      <c r="D10" s="25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8"/>
    </row>
    <row r="11" spans="1:50" ht="12" customHeight="1" x14ac:dyDescent="0.35">
      <c r="A11" s="15"/>
      <c r="B11" s="1">
        <v>1</v>
      </c>
      <c r="C11" s="16" t="s">
        <v>16</v>
      </c>
      <c r="D11" s="26">
        <v>1666.67</v>
      </c>
      <c r="E11" s="34">
        <v>2000</v>
      </c>
      <c r="F11" s="34">
        <v>2000</v>
      </c>
      <c r="G11" s="34">
        <v>1400</v>
      </c>
      <c r="H11" s="34">
        <v>2000</v>
      </c>
      <c r="I11" s="34">
        <v>5000</v>
      </c>
      <c r="J11" s="34">
        <v>2000</v>
      </c>
      <c r="K11" s="34">
        <v>1154.79</v>
      </c>
      <c r="L11" s="34">
        <v>2000</v>
      </c>
      <c r="M11" s="34">
        <v>2500</v>
      </c>
      <c r="N11" s="34">
        <v>2000</v>
      </c>
      <c r="O11" s="34">
        <v>1215.24</v>
      </c>
      <c r="P11" s="34">
        <v>1399.21</v>
      </c>
      <c r="Q11" s="34">
        <v>2500</v>
      </c>
      <c r="R11" s="34">
        <v>1122</v>
      </c>
      <c r="S11" s="34">
        <v>1154.79</v>
      </c>
      <c r="T11" s="34">
        <v>4000</v>
      </c>
      <c r="U11" s="34"/>
      <c r="V11" s="34">
        <v>1154.79</v>
      </c>
      <c r="W11" s="34">
        <v>1500</v>
      </c>
      <c r="X11" s="34">
        <v>1500</v>
      </c>
      <c r="Y11" s="34"/>
      <c r="Z11" s="34">
        <v>1154.79</v>
      </c>
      <c r="AA11" s="34">
        <v>1154.79</v>
      </c>
      <c r="AB11" s="34">
        <v>1154.79</v>
      </c>
      <c r="AC11" s="34">
        <v>1154.79</v>
      </c>
      <c r="AD11" s="34">
        <v>1154.79</v>
      </c>
      <c r="AE11" s="34">
        <v>1312.8</v>
      </c>
      <c r="AF11" s="34">
        <v>1312.8</v>
      </c>
      <c r="AG11" s="34">
        <v>1215.24</v>
      </c>
      <c r="AH11" s="34">
        <v>1215.24</v>
      </c>
      <c r="AI11" s="34">
        <v>1215.24</v>
      </c>
      <c r="AJ11" s="34">
        <v>1215.24</v>
      </c>
      <c r="AK11" s="34">
        <v>864</v>
      </c>
      <c r="AL11" s="34">
        <v>1215.24</v>
      </c>
      <c r="AM11" s="34">
        <v>1500</v>
      </c>
      <c r="AN11" s="34">
        <v>1080</v>
      </c>
      <c r="AO11" s="34">
        <v>1080</v>
      </c>
      <c r="AP11" s="34">
        <v>1215.24</v>
      </c>
      <c r="AQ11" s="34">
        <v>1215.24</v>
      </c>
      <c r="AR11" s="34">
        <v>1167.6300000000001</v>
      </c>
      <c r="AS11" s="34">
        <v>1215.24</v>
      </c>
      <c r="AT11" s="34"/>
      <c r="AU11" s="34">
        <v>1167.6300000000001</v>
      </c>
      <c r="AV11" s="34">
        <v>1215.24</v>
      </c>
      <c r="AW11" s="34">
        <v>1215.24</v>
      </c>
      <c r="AX11" s="9">
        <v>486.1</v>
      </c>
    </row>
    <row r="12" spans="1:50" ht="12" customHeight="1" x14ac:dyDescent="0.35">
      <c r="A12" s="15"/>
      <c r="B12" s="1">
        <v>3</v>
      </c>
      <c r="C12" s="16" t="s">
        <v>17</v>
      </c>
      <c r="D12" s="26">
        <v>1065.76</v>
      </c>
      <c r="E12" s="34">
        <v>862.24</v>
      </c>
      <c r="F12" s="34">
        <v>528.91</v>
      </c>
      <c r="G12" s="34">
        <v>1062.23</v>
      </c>
      <c r="H12" s="34">
        <v>28.91</v>
      </c>
      <c r="I12" s="34">
        <v>2201.5500000000002</v>
      </c>
      <c r="J12" s="34">
        <v>278.91000000000003</v>
      </c>
      <c r="K12" s="34">
        <v>1603.01</v>
      </c>
      <c r="L12" s="34">
        <v>866.94</v>
      </c>
      <c r="M12" s="34">
        <v>2945.58</v>
      </c>
      <c r="N12" s="34">
        <v>28.91</v>
      </c>
      <c r="O12" s="34">
        <v>777.79</v>
      </c>
      <c r="P12" s="34">
        <v>979.83</v>
      </c>
      <c r="Q12" s="34">
        <v>612.24</v>
      </c>
      <c r="R12" s="34">
        <v>1053.24</v>
      </c>
      <c r="S12" s="34">
        <v>848.32</v>
      </c>
      <c r="T12" s="34">
        <v>1695.57</v>
      </c>
      <c r="U12" s="34"/>
      <c r="V12" s="34">
        <v>1014.99</v>
      </c>
      <c r="W12" s="34">
        <v>862.24</v>
      </c>
      <c r="X12" s="34">
        <v>862.24</v>
      </c>
      <c r="Y12" s="34"/>
      <c r="Z12" s="34">
        <v>1014.99</v>
      </c>
      <c r="AA12" s="34">
        <v>848.32</v>
      </c>
      <c r="AB12" s="34">
        <v>1264.99</v>
      </c>
      <c r="AC12" s="34">
        <v>1014.99</v>
      </c>
      <c r="AD12" s="34">
        <v>848.32</v>
      </c>
      <c r="AE12" s="34">
        <v>330.63</v>
      </c>
      <c r="AF12" s="34">
        <v>913.97</v>
      </c>
      <c r="AG12" s="34">
        <v>1027.79</v>
      </c>
      <c r="AH12" s="34">
        <v>444.46</v>
      </c>
      <c r="AI12" s="34">
        <v>444.46</v>
      </c>
      <c r="AJ12" s="34">
        <v>444.46</v>
      </c>
      <c r="AK12" s="34">
        <v>481.79</v>
      </c>
      <c r="AL12" s="34">
        <v>444.46</v>
      </c>
      <c r="AM12" s="34">
        <v>945.57</v>
      </c>
      <c r="AN12" s="34">
        <v>768.91</v>
      </c>
      <c r="AO12" s="34">
        <v>352.24</v>
      </c>
      <c r="AP12" s="34">
        <v>194.45</v>
      </c>
      <c r="AQ12" s="34">
        <v>777.79</v>
      </c>
      <c r="AR12" s="34">
        <v>250.01</v>
      </c>
      <c r="AS12" s="34">
        <v>194.45</v>
      </c>
      <c r="AT12" s="34"/>
      <c r="AU12" s="34">
        <v>250.01</v>
      </c>
      <c r="AV12" s="34">
        <v>194.46</v>
      </c>
      <c r="AW12" s="34">
        <v>194.46</v>
      </c>
      <c r="AX12" s="9">
        <v>77.78</v>
      </c>
    </row>
    <row r="13" spans="1:50" ht="12" customHeight="1" x14ac:dyDescent="0.35">
      <c r="A13" s="15"/>
      <c r="B13" s="1">
        <v>8</v>
      </c>
      <c r="C13" s="16" t="s">
        <v>261</v>
      </c>
      <c r="D13" s="26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>
        <v>8.1300000000000008</v>
      </c>
      <c r="AW13" s="34"/>
      <c r="AX13" s="9"/>
    </row>
    <row r="14" spans="1:50" ht="12" customHeight="1" x14ac:dyDescent="0.35">
      <c r="A14" s="15"/>
      <c r="B14" s="1">
        <v>51</v>
      </c>
      <c r="C14" s="16" t="s">
        <v>262</v>
      </c>
      <c r="D14" s="26"/>
      <c r="E14" s="34"/>
      <c r="F14" s="34"/>
      <c r="G14" s="34"/>
      <c r="H14" s="34"/>
      <c r="I14" s="34">
        <v>1100</v>
      </c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9"/>
    </row>
    <row r="15" spans="1:50" ht="12" customHeight="1" x14ac:dyDescent="0.35">
      <c r="A15" s="15"/>
      <c r="B15" s="1">
        <v>53</v>
      </c>
      <c r="C15" s="16" t="s">
        <v>263</v>
      </c>
      <c r="D15" s="26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>
        <v>200</v>
      </c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>
        <v>450.01</v>
      </c>
      <c r="AQ15" s="34"/>
      <c r="AR15" s="34"/>
      <c r="AS15" s="34"/>
      <c r="AT15" s="34"/>
      <c r="AU15" s="34"/>
      <c r="AV15" s="34"/>
      <c r="AW15" s="34">
        <v>175</v>
      </c>
      <c r="AX15" s="9"/>
    </row>
    <row r="16" spans="1:50" ht="12" customHeight="1" x14ac:dyDescent="0.35">
      <c r="A16" s="15"/>
      <c r="B16" s="1">
        <v>63</v>
      </c>
      <c r="C16" s="16" t="s">
        <v>264</v>
      </c>
      <c r="D16" s="26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>
        <v>258.3</v>
      </c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9"/>
    </row>
    <row r="17" spans="1:50" ht="12" customHeight="1" x14ac:dyDescent="0.35">
      <c r="A17" s="15"/>
      <c r="B17" s="1">
        <v>65</v>
      </c>
      <c r="C17" s="16" t="s">
        <v>265</v>
      </c>
      <c r="D17" s="26"/>
      <c r="E17" s="34"/>
      <c r="F17" s="34"/>
      <c r="G17" s="34"/>
      <c r="H17" s="34"/>
      <c r="I17" s="34"/>
      <c r="J17" s="34"/>
      <c r="K17" s="34"/>
      <c r="L17" s="34"/>
      <c r="M17" s="34">
        <v>666.66</v>
      </c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9"/>
    </row>
    <row r="18" spans="1:50" ht="12" customHeight="1" x14ac:dyDescent="0.35">
      <c r="A18" s="15"/>
      <c r="B18" s="1">
        <v>123</v>
      </c>
      <c r="C18" s="16" t="s">
        <v>18</v>
      </c>
      <c r="D18" s="26">
        <v>288.88</v>
      </c>
      <c r="E18" s="34">
        <v>333.34</v>
      </c>
      <c r="F18" s="34">
        <v>333.34</v>
      </c>
      <c r="G18" s="34">
        <v>233.34</v>
      </c>
      <c r="H18" s="34">
        <v>333.34</v>
      </c>
      <c r="I18" s="34">
        <v>833.34</v>
      </c>
      <c r="J18" s="34">
        <v>333.34</v>
      </c>
      <c r="K18" s="34">
        <v>192.46</v>
      </c>
      <c r="L18" s="34">
        <v>333.34</v>
      </c>
      <c r="M18" s="34">
        <v>416.66</v>
      </c>
      <c r="N18" s="34">
        <v>333.34</v>
      </c>
      <c r="O18" s="34">
        <v>202.54</v>
      </c>
      <c r="P18" s="34">
        <v>233.2</v>
      </c>
      <c r="Q18" s="34">
        <v>416.66</v>
      </c>
      <c r="R18" s="34">
        <v>187</v>
      </c>
      <c r="S18" s="34">
        <v>192.46</v>
      </c>
      <c r="T18" s="34">
        <v>666.66</v>
      </c>
      <c r="U18" s="34"/>
      <c r="V18" s="34">
        <v>192.46</v>
      </c>
      <c r="W18" s="34">
        <v>250</v>
      </c>
      <c r="X18" s="34">
        <v>250</v>
      </c>
      <c r="Y18" s="34"/>
      <c r="Z18" s="34">
        <v>192.46</v>
      </c>
      <c r="AA18" s="34">
        <v>192.46</v>
      </c>
      <c r="AB18" s="34">
        <v>192.46</v>
      </c>
      <c r="AC18" s="34">
        <v>192.46</v>
      </c>
      <c r="AD18" s="34">
        <v>192.46</v>
      </c>
      <c r="AE18" s="34">
        <v>218.8</v>
      </c>
      <c r="AF18" s="34">
        <v>218.8</v>
      </c>
      <c r="AG18" s="34">
        <v>202.54</v>
      </c>
      <c r="AH18" s="34">
        <v>202.54</v>
      </c>
      <c r="AI18" s="34">
        <v>202.54</v>
      </c>
      <c r="AJ18" s="34">
        <v>202.54</v>
      </c>
      <c r="AK18" s="34">
        <v>150</v>
      </c>
      <c r="AL18" s="34">
        <v>202.54</v>
      </c>
      <c r="AM18" s="34">
        <v>250</v>
      </c>
      <c r="AN18" s="34">
        <v>180</v>
      </c>
      <c r="AO18" s="34">
        <v>180</v>
      </c>
      <c r="AP18" s="34">
        <v>202.54</v>
      </c>
      <c r="AQ18" s="34">
        <v>202.54</v>
      </c>
      <c r="AR18" s="34">
        <v>194.6</v>
      </c>
      <c r="AS18" s="34">
        <v>202.54</v>
      </c>
      <c r="AT18" s="34"/>
      <c r="AU18" s="34">
        <v>194.6</v>
      </c>
      <c r="AV18" s="34">
        <v>202.54</v>
      </c>
      <c r="AW18" s="34">
        <v>202.54</v>
      </c>
      <c r="AX18" s="9">
        <v>87.76</v>
      </c>
    </row>
    <row r="19" spans="1:50" ht="12" customHeight="1" x14ac:dyDescent="0.35">
      <c r="A19" s="15"/>
      <c r="B19" s="1">
        <v>181</v>
      </c>
      <c r="C19" s="16" t="s">
        <v>75</v>
      </c>
      <c r="D19" s="26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>
        <v>699</v>
      </c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9"/>
    </row>
    <row r="20" spans="1:50" ht="12" customHeight="1" x14ac:dyDescent="0.35">
      <c r="A20" s="15"/>
      <c r="B20" s="1">
        <v>275</v>
      </c>
      <c r="C20" s="16" t="s">
        <v>19</v>
      </c>
      <c r="D20" s="26">
        <v>15</v>
      </c>
      <c r="E20" s="34"/>
      <c r="F20" s="34">
        <v>15</v>
      </c>
      <c r="G20" s="34">
        <v>15</v>
      </c>
      <c r="H20" s="34">
        <v>15</v>
      </c>
      <c r="I20" s="34">
        <v>15</v>
      </c>
      <c r="J20" s="34">
        <v>15</v>
      </c>
      <c r="K20" s="34">
        <v>15</v>
      </c>
      <c r="L20" s="34">
        <v>15</v>
      </c>
      <c r="M20" s="34">
        <v>15</v>
      </c>
      <c r="N20" s="34">
        <v>15</v>
      </c>
      <c r="O20" s="34">
        <v>15</v>
      </c>
      <c r="P20" s="34">
        <v>15</v>
      </c>
      <c r="Q20" s="34">
        <v>15</v>
      </c>
      <c r="R20" s="34"/>
      <c r="S20" s="34">
        <v>15</v>
      </c>
      <c r="T20" s="34">
        <v>15</v>
      </c>
      <c r="U20" s="34"/>
      <c r="V20" s="34">
        <v>15</v>
      </c>
      <c r="W20" s="34">
        <v>15</v>
      </c>
      <c r="X20" s="34">
        <v>15</v>
      </c>
      <c r="Y20" s="34">
        <v>15</v>
      </c>
      <c r="Z20" s="34">
        <v>15</v>
      </c>
      <c r="AA20" s="34">
        <v>15</v>
      </c>
      <c r="AB20" s="34">
        <v>15</v>
      </c>
      <c r="AC20" s="34">
        <v>15</v>
      </c>
      <c r="AD20" s="34">
        <v>15</v>
      </c>
      <c r="AE20" s="34">
        <v>15</v>
      </c>
      <c r="AF20" s="34">
        <v>15</v>
      </c>
      <c r="AG20" s="34">
        <v>15</v>
      </c>
      <c r="AH20" s="34">
        <v>15</v>
      </c>
      <c r="AI20" s="34">
        <v>15</v>
      </c>
      <c r="AJ20" s="34">
        <v>15</v>
      </c>
      <c r="AK20" s="34"/>
      <c r="AL20" s="34">
        <v>15</v>
      </c>
      <c r="AM20" s="34">
        <v>15</v>
      </c>
      <c r="AN20" s="34">
        <v>15</v>
      </c>
      <c r="AO20" s="34">
        <v>15</v>
      </c>
      <c r="AP20" s="34">
        <v>15</v>
      </c>
      <c r="AQ20" s="34">
        <v>15</v>
      </c>
      <c r="AR20" s="34">
        <v>15</v>
      </c>
      <c r="AS20" s="34">
        <v>15</v>
      </c>
      <c r="AT20" s="34"/>
      <c r="AU20" s="34">
        <v>15</v>
      </c>
      <c r="AV20" s="34">
        <v>15</v>
      </c>
      <c r="AW20" s="34">
        <v>15</v>
      </c>
      <c r="AX20" s="9"/>
    </row>
    <row r="21" spans="1:50" ht="12" customHeight="1" x14ac:dyDescent="0.35">
      <c r="A21" s="15"/>
      <c r="B21" s="1">
        <v>276</v>
      </c>
      <c r="C21" s="16" t="s">
        <v>20</v>
      </c>
      <c r="D21" s="26">
        <v>-200.1</v>
      </c>
      <c r="E21" s="34"/>
      <c r="F21" s="34">
        <v>-204.55</v>
      </c>
      <c r="G21" s="34"/>
      <c r="H21" s="34">
        <v>-219.95</v>
      </c>
      <c r="I21" s="34"/>
      <c r="J21" s="34"/>
      <c r="K21" s="34">
        <v>-220</v>
      </c>
      <c r="L21" s="34"/>
      <c r="M21" s="34"/>
      <c r="N21" s="34"/>
      <c r="O21" s="34"/>
      <c r="P21" s="34"/>
      <c r="Q21" s="34"/>
      <c r="R21" s="34"/>
      <c r="S21" s="34">
        <v>-184.3</v>
      </c>
      <c r="T21" s="34">
        <v>-220</v>
      </c>
      <c r="U21" s="34"/>
      <c r="V21" s="34">
        <v>-191.46</v>
      </c>
      <c r="W21" s="34">
        <v>-220</v>
      </c>
      <c r="X21" s="34">
        <v>-27.22</v>
      </c>
      <c r="Y21" s="34"/>
      <c r="Z21" s="34">
        <v>-31.6</v>
      </c>
      <c r="AA21" s="34"/>
      <c r="AB21" s="34"/>
      <c r="AC21" s="34"/>
      <c r="AD21" s="34">
        <v>-158.94</v>
      </c>
      <c r="AE21" s="34">
        <v>-20.3</v>
      </c>
      <c r="AF21" s="34">
        <v>-202.58</v>
      </c>
      <c r="AG21" s="34">
        <v>-54.13</v>
      </c>
      <c r="AH21" s="34"/>
      <c r="AI21" s="34"/>
      <c r="AJ21" s="34"/>
      <c r="AK21" s="34">
        <v>-123.87</v>
      </c>
      <c r="AL21" s="34">
        <v>-107.29</v>
      </c>
      <c r="AM21" s="34"/>
      <c r="AN21" s="34">
        <v>-1.85</v>
      </c>
      <c r="AO21" s="34">
        <v>-49.9</v>
      </c>
      <c r="AP21" s="34">
        <v>-14.7</v>
      </c>
      <c r="AQ21" s="34"/>
      <c r="AR21" s="34"/>
      <c r="AS21" s="34"/>
      <c r="AT21" s="34"/>
      <c r="AU21" s="34"/>
      <c r="AV21" s="34"/>
      <c r="AW21" s="34"/>
      <c r="AX21" s="9"/>
    </row>
    <row r="22" spans="1:50" ht="12" customHeight="1" x14ac:dyDescent="0.35">
      <c r="A22" s="15"/>
      <c r="B22" s="1">
        <v>277</v>
      </c>
      <c r="C22" s="16" t="s">
        <v>76</v>
      </c>
      <c r="D22" s="26"/>
      <c r="E22" s="34"/>
      <c r="F22" s="34"/>
      <c r="G22" s="34"/>
      <c r="H22" s="34">
        <v>-130.63999999999999</v>
      </c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>
        <v>-20.45</v>
      </c>
      <c r="T22" s="34"/>
      <c r="U22" s="34"/>
      <c r="V22" s="34">
        <v>-14</v>
      </c>
      <c r="W22" s="34"/>
      <c r="X22" s="34"/>
      <c r="Y22" s="34"/>
      <c r="Z22" s="34">
        <v>-53.1</v>
      </c>
      <c r="AA22" s="34"/>
      <c r="AB22" s="34"/>
      <c r="AC22" s="34"/>
      <c r="AD22" s="34"/>
      <c r="AE22" s="34">
        <v>-9.8000000000000007</v>
      </c>
      <c r="AF22" s="34"/>
      <c r="AG22" s="34"/>
      <c r="AH22" s="34"/>
      <c r="AI22" s="34"/>
      <c r="AJ22" s="34"/>
      <c r="AK22" s="34"/>
      <c r="AL22" s="34">
        <v>-127</v>
      </c>
      <c r="AM22" s="34"/>
      <c r="AN22" s="34">
        <v>-43.2</v>
      </c>
      <c r="AO22" s="34">
        <v>-64.63</v>
      </c>
      <c r="AP22" s="34"/>
      <c r="AQ22" s="34"/>
      <c r="AR22" s="34"/>
      <c r="AS22" s="34"/>
      <c r="AT22" s="34"/>
      <c r="AU22" s="34">
        <v>-10</v>
      </c>
      <c r="AV22" s="34"/>
      <c r="AW22" s="34"/>
      <c r="AX22" s="9"/>
    </row>
    <row r="23" spans="1:50" ht="12" customHeight="1" x14ac:dyDescent="0.35">
      <c r="A23" s="15"/>
      <c r="B23" s="1">
        <v>278</v>
      </c>
      <c r="C23" s="16" t="s">
        <v>266</v>
      </c>
      <c r="D23" s="26"/>
      <c r="E23" s="34"/>
      <c r="F23" s="34">
        <v>-372.67</v>
      </c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>
        <v>-353.67</v>
      </c>
      <c r="X23" s="34"/>
      <c r="Y23" s="34"/>
      <c r="Z23" s="34"/>
      <c r="AA23" s="34"/>
      <c r="AB23" s="34"/>
      <c r="AC23" s="34"/>
      <c r="AD23" s="34">
        <v>-537.66999999999996</v>
      </c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9"/>
    </row>
    <row r="24" spans="1:50" ht="12" customHeight="1" x14ac:dyDescent="0.35">
      <c r="A24" s="15"/>
      <c r="B24" s="1">
        <v>280</v>
      </c>
      <c r="C24" s="16" t="s">
        <v>267</v>
      </c>
      <c r="D24" s="26"/>
      <c r="E24" s="34"/>
      <c r="F24" s="34">
        <v>-18.579999999999998</v>
      </c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>
        <v>-18.579999999999998</v>
      </c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>
        <v>-9.2899999999999991</v>
      </c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9"/>
    </row>
    <row r="25" spans="1:50" ht="12" customHeight="1" x14ac:dyDescent="0.35">
      <c r="A25" s="15"/>
      <c r="B25" s="1">
        <v>283</v>
      </c>
      <c r="C25" s="16" t="s">
        <v>268</v>
      </c>
      <c r="D25" s="26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>
        <v>-722.02</v>
      </c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9"/>
    </row>
    <row r="26" spans="1:50" ht="12" customHeight="1" x14ac:dyDescent="0.35">
      <c r="A26" s="15"/>
      <c r="B26" s="1">
        <v>337</v>
      </c>
      <c r="C26" s="16" t="s">
        <v>21</v>
      </c>
      <c r="D26" s="26">
        <v>200.1</v>
      </c>
      <c r="E26" s="34"/>
      <c r="F26" s="34">
        <v>204.55</v>
      </c>
      <c r="G26" s="34"/>
      <c r="H26" s="34">
        <v>219.95</v>
      </c>
      <c r="I26" s="34"/>
      <c r="J26" s="34"/>
      <c r="K26" s="34">
        <v>220</v>
      </c>
      <c r="L26" s="34"/>
      <c r="M26" s="34"/>
      <c r="N26" s="34"/>
      <c r="O26" s="34"/>
      <c r="P26" s="34"/>
      <c r="Q26" s="34"/>
      <c r="R26" s="34"/>
      <c r="S26" s="34">
        <v>184.3</v>
      </c>
      <c r="T26" s="34">
        <v>220</v>
      </c>
      <c r="U26" s="34"/>
      <c r="V26" s="34">
        <v>191.46</v>
      </c>
      <c r="W26" s="34">
        <v>220</v>
      </c>
      <c r="X26" s="34">
        <v>27.22</v>
      </c>
      <c r="Y26" s="34"/>
      <c r="Z26" s="34">
        <v>31.6</v>
      </c>
      <c r="AA26" s="34"/>
      <c r="AB26" s="34"/>
      <c r="AC26" s="34"/>
      <c r="AD26" s="34">
        <v>158.94</v>
      </c>
      <c r="AE26" s="34">
        <v>20.3</v>
      </c>
      <c r="AF26" s="34">
        <v>202.58</v>
      </c>
      <c r="AG26" s="34">
        <v>54.13</v>
      </c>
      <c r="AH26" s="34"/>
      <c r="AI26" s="34"/>
      <c r="AJ26" s="34"/>
      <c r="AK26" s="34">
        <v>123.87</v>
      </c>
      <c r="AL26" s="34">
        <v>107.29</v>
      </c>
      <c r="AM26" s="34"/>
      <c r="AN26" s="34">
        <v>1.85</v>
      </c>
      <c r="AO26" s="34">
        <v>49.9</v>
      </c>
      <c r="AP26" s="34">
        <v>14.7</v>
      </c>
      <c r="AQ26" s="34"/>
      <c r="AR26" s="34"/>
      <c r="AS26" s="34"/>
      <c r="AT26" s="34"/>
      <c r="AU26" s="34"/>
      <c r="AV26" s="34"/>
      <c r="AW26" s="34"/>
      <c r="AX26" s="9"/>
    </row>
    <row r="27" spans="1:50" ht="12" customHeight="1" x14ac:dyDescent="0.35">
      <c r="A27" s="15"/>
      <c r="B27" s="1">
        <v>338</v>
      </c>
      <c r="C27" s="16" t="s">
        <v>269</v>
      </c>
      <c r="D27" s="26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>
        <v>722.02</v>
      </c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9"/>
    </row>
    <row r="28" spans="1:50" ht="12" customHeight="1" x14ac:dyDescent="0.35">
      <c r="A28" s="15"/>
      <c r="B28" s="1">
        <v>339</v>
      </c>
      <c r="C28" s="16" t="s">
        <v>78</v>
      </c>
      <c r="D28" s="26"/>
      <c r="E28" s="34">
        <v>167.15</v>
      </c>
      <c r="F28" s="34"/>
      <c r="G28" s="34">
        <v>105.5</v>
      </c>
      <c r="H28" s="34"/>
      <c r="I28" s="34">
        <v>220</v>
      </c>
      <c r="J28" s="34">
        <v>147.19999999999999</v>
      </c>
      <c r="K28" s="34"/>
      <c r="L28" s="34">
        <v>194.81</v>
      </c>
      <c r="M28" s="34">
        <v>220</v>
      </c>
      <c r="N28" s="34">
        <v>218.05</v>
      </c>
      <c r="O28" s="34">
        <v>219.6</v>
      </c>
      <c r="P28" s="34"/>
      <c r="Q28" s="34">
        <v>218.3</v>
      </c>
      <c r="R28" s="34">
        <v>120.46</v>
      </c>
      <c r="S28" s="34"/>
      <c r="T28" s="34"/>
      <c r="U28" s="34"/>
      <c r="V28" s="34"/>
      <c r="W28" s="34"/>
      <c r="X28" s="34"/>
      <c r="Y28" s="34">
        <v>56.35</v>
      </c>
      <c r="Z28" s="34"/>
      <c r="AA28" s="34">
        <v>144.97</v>
      </c>
      <c r="AB28" s="34"/>
      <c r="AC28" s="34">
        <v>47.29</v>
      </c>
      <c r="AD28" s="34"/>
      <c r="AE28" s="34"/>
      <c r="AF28" s="34"/>
      <c r="AG28" s="34">
        <v>42.91</v>
      </c>
      <c r="AH28" s="34">
        <v>60.83</v>
      </c>
      <c r="AI28" s="34">
        <v>137.76</v>
      </c>
      <c r="AJ28" s="34">
        <v>220</v>
      </c>
      <c r="AK28" s="34"/>
      <c r="AL28" s="34"/>
      <c r="AM28" s="34">
        <v>184.2</v>
      </c>
      <c r="AN28" s="34"/>
      <c r="AO28" s="34"/>
      <c r="AP28" s="34">
        <v>204.4</v>
      </c>
      <c r="AQ28" s="34"/>
      <c r="AR28" s="34"/>
      <c r="AS28" s="34"/>
      <c r="AT28" s="34"/>
      <c r="AU28" s="34"/>
      <c r="AV28" s="34"/>
      <c r="AW28" s="34"/>
      <c r="AX28" s="9"/>
    </row>
    <row r="29" spans="1:50" ht="12" customHeight="1" x14ac:dyDescent="0.35">
      <c r="A29" s="15"/>
      <c r="B29" s="1">
        <v>343</v>
      </c>
      <c r="C29" s="16" t="s">
        <v>79</v>
      </c>
      <c r="D29" s="26"/>
      <c r="E29" s="34"/>
      <c r="F29" s="34"/>
      <c r="G29" s="34"/>
      <c r="H29" s="34">
        <v>130.63999999999999</v>
      </c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>
        <v>20.45</v>
      </c>
      <c r="T29" s="34"/>
      <c r="U29" s="34"/>
      <c r="V29" s="34">
        <v>14</v>
      </c>
      <c r="W29" s="34"/>
      <c r="X29" s="34"/>
      <c r="Y29" s="34"/>
      <c r="Z29" s="34">
        <v>53.1</v>
      </c>
      <c r="AA29" s="34"/>
      <c r="AB29" s="34"/>
      <c r="AC29" s="34"/>
      <c r="AD29" s="34"/>
      <c r="AE29" s="34">
        <v>9.8000000000000007</v>
      </c>
      <c r="AF29" s="34"/>
      <c r="AG29" s="34"/>
      <c r="AH29" s="34"/>
      <c r="AI29" s="34"/>
      <c r="AJ29" s="34"/>
      <c r="AK29" s="34"/>
      <c r="AL29" s="34">
        <v>127</v>
      </c>
      <c r="AM29" s="34"/>
      <c r="AN29" s="34">
        <v>43.2</v>
      </c>
      <c r="AO29" s="34">
        <v>64.63</v>
      </c>
      <c r="AP29" s="34"/>
      <c r="AQ29" s="34"/>
      <c r="AR29" s="34"/>
      <c r="AS29" s="34"/>
      <c r="AT29" s="34"/>
      <c r="AU29" s="34">
        <v>10</v>
      </c>
      <c r="AV29" s="34"/>
      <c r="AW29" s="34"/>
      <c r="AX29" s="9"/>
    </row>
    <row r="30" spans="1:50" ht="12" customHeight="1" x14ac:dyDescent="0.35">
      <c r="A30" s="15"/>
      <c r="B30" s="1">
        <v>345</v>
      </c>
      <c r="C30" s="16" t="s">
        <v>80</v>
      </c>
      <c r="D30" s="26"/>
      <c r="E30" s="34"/>
      <c r="F30" s="34"/>
      <c r="G30" s="34"/>
      <c r="H30" s="34"/>
      <c r="I30" s="34"/>
      <c r="J30" s="34">
        <v>38.200000000000003</v>
      </c>
      <c r="K30" s="34"/>
      <c r="L30" s="34"/>
      <c r="M30" s="34"/>
      <c r="N30" s="34">
        <v>86.3</v>
      </c>
      <c r="O30" s="34">
        <v>49.4</v>
      </c>
      <c r="P30" s="34">
        <v>43.2</v>
      </c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>
        <v>41.2</v>
      </c>
      <c r="AD30" s="34"/>
      <c r="AE30" s="34"/>
      <c r="AF30" s="34"/>
      <c r="AG30" s="34"/>
      <c r="AH30" s="34">
        <v>3.3</v>
      </c>
      <c r="AI30" s="34"/>
      <c r="AJ30" s="34">
        <v>10</v>
      </c>
      <c r="AK30" s="34"/>
      <c r="AL30" s="34"/>
      <c r="AM30" s="34">
        <v>43.2</v>
      </c>
      <c r="AN30" s="34"/>
      <c r="AO30" s="34"/>
      <c r="AP30" s="34">
        <v>42.8</v>
      </c>
      <c r="AQ30" s="34">
        <v>9.6</v>
      </c>
      <c r="AR30" s="34"/>
      <c r="AS30" s="34"/>
      <c r="AT30" s="34"/>
      <c r="AU30" s="34"/>
      <c r="AV30" s="34">
        <v>32.700000000000003</v>
      </c>
      <c r="AW30" s="34"/>
      <c r="AX30" s="9"/>
    </row>
    <row r="31" spans="1:50" ht="12" customHeight="1" x14ac:dyDescent="0.35">
      <c r="A31" s="15"/>
      <c r="B31" s="1">
        <v>349</v>
      </c>
      <c r="C31" s="16" t="s">
        <v>270</v>
      </c>
      <c r="D31" s="26"/>
      <c r="E31" s="34"/>
      <c r="F31" s="34">
        <v>372.67</v>
      </c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>
        <v>353.67</v>
      </c>
      <c r="X31" s="34"/>
      <c r="Y31" s="34"/>
      <c r="Z31" s="34"/>
      <c r="AA31" s="34"/>
      <c r="AB31" s="34"/>
      <c r="AC31" s="34"/>
      <c r="AD31" s="34">
        <v>537.66999999999996</v>
      </c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9"/>
    </row>
    <row r="32" spans="1:50" ht="12" customHeight="1" x14ac:dyDescent="0.35">
      <c r="A32" s="15"/>
      <c r="B32" s="1">
        <v>352</v>
      </c>
      <c r="C32" s="16" t="s">
        <v>271</v>
      </c>
      <c r="D32" s="26"/>
      <c r="E32" s="34"/>
      <c r="F32" s="34">
        <v>18.579999999999998</v>
      </c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>
        <v>18.579999999999998</v>
      </c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>
        <v>9.2899999999999991</v>
      </c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9"/>
    </row>
    <row r="33" spans="1:50" ht="12" customHeight="1" x14ac:dyDescent="0.35">
      <c r="A33" s="15"/>
      <c r="B33" s="1">
        <v>353</v>
      </c>
      <c r="C33" s="16" t="s">
        <v>81</v>
      </c>
      <c r="D33" s="26">
        <v>41.67</v>
      </c>
      <c r="E33" s="34">
        <v>83.34</v>
      </c>
      <c r="F33" s="34">
        <v>106.43</v>
      </c>
      <c r="G33" s="34"/>
      <c r="H33" s="34">
        <v>41.67</v>
      </c>
      <c r="I33" s="34">
        <v>166.68</v>
      </c>
      <c r="J33" s="34">
        <v>41.67</v>
      </c>
      <c r="K33" s="34">
        <v>41.67</v>
      </c>
      <c r="L33" s="34"/>
      <c r="M33" s="34">
        <v>83.34</v>
      </c>
      <c r="N33" s="34">
        <v>41.67</v>
      </c>
      <c r="O33" s="34">
        <v>41.67</v>
      </c>
      <c r="P33" s="34">
        <v>41.67</v>
      </c>
      <c r="Q33" s="34">
        <v>41.67</v>
      </c>
      <c r="R33" s="34">
        <v>41.67</v>
      </c>
      <c r="S33" s="34">
        <v>41.67</v>
      </c>
      <c r="T33" s="34">
        <v>106.43</v>
      </c>
      <c r="U33" s="34"/>
      <c r="V33" s="34">
        <v>41.67</v>
      </c>
      <c r="W33" s="34">
        <v>41.67</v>
      </c>
      <c r="X33" s="34"/>
      <c r="Y33" s="34">
        <v>41.67</v>
      </c>
      <c r="Z33" s="34">
        <v>41.67</v>
      </c>
      <c r="AA33" s="34"/>
      <c r="AB33" s="34">
        <v>125.01</v>
      </c>
      <c r="AC33" s="34">
        <v>41.67</v>
      </c>
      <c r="AD33" s="34"/>
      <c r="AE33" s="34">
        <v>32.380000000000003</v>
      </c>
      <c r="AF33" s="34"/>
      <c r="AG33" s="34"/>
      <c r="AH33" s="34"/>
      <c r="AI33" s="34"/>
      <c r="AJ33" s="34">
        <v>41.67</v>
      </c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9"/>
    </row>
    <row r="34" spans="1:50" ht="12" customHeight="1" x14ac:dyDescent="0.35">
      <c r="A34" s="15"/>
      <c r="B34" s="1">
        <v>355</v>
      </c>
      <c r="C34" s="16" t="s">
        <v>272</v>
      </c>
      <c r="D34" s="26"/>
      <c r="E34" s="34"/>
      <c r="F34" s="34">
        <v>46.18</v>
      </c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>
        <v>46.18</v>
      </c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>
        <v>23.09</v>
      </c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9"/>
    </row>
    <row r="35" spans="1:50" ht="12" customHeight="1" x14ac:dyDescent="0.35">
      <c r="A35" s="15"/>
      <c r="B35" s="1">
        <v>356</v>
      </c>
      <c r="C35" s="16" t="s">
        <v>82</v>
      </c>
      <c r="D35" s="26">
        <v>23.09</v>
      </c>
      <c r="E35" s="34">
        <v>46.18</v>
      </c>
      <c r="F35" s="34">
        <v>23.09</v>
      </c>
      <c r="G35" s="34"/>
      <c r="H35" s="34">
        <v>23.09</v>
      </c>
      <c r="I35" s="34">
        <v>92.36</v>
      </c>
      <c r="J35" s="34">
        <v>23.09</v>
      </c>
      <c r="K35" s="34">
        <v>23.09</v>
      </c>
      <c r="L35" s="34"/>
      <c r="M35" s="34">
        <v>46.18</v>
      </c>
      <c r="N35" s="34">
        <v>23.09</v>
      </c>
      <c r="O35" s="34">
        <v>23.09</v>
      </c>
      <c r="P35" s="34">
        <v>23.09</v>
      </c>
      <c r="Q35" s="34">
        <v>23.09</v>
      </c>
      <c r="R35" s="34">
        <v>23.09</v>
      </c>
      <c r="S35" s="34">
        <v>23.09</v>
      </c>
      <c r="T35" s="34">
        <v>23.09</v>
      </c>
      <c r="U35" s="34"/>
      <c r="V35" s="34">
        <v>23.09</v>
      </c>
      <c r="W35" s="34">
        <v>23.09</v>
      </c>
      <c r="X35" s="34"/>
      <c r="Y35" s="34">
        <v>23.09</v>
      </c>
      <c r="Z35" s="34">
        <v>23.09</v>
      </c>
      <c r="AA35" s="34"/>
      <c r="AB35" s="34">
        <v>69.27</v>
      </c>
      <c r="AC35" s="34">
        <v>23.09</v>
      </c>
      <c r="AD35" s="34"/>
      <c r="AE35" s="34"/>
      <c r="AF35" s="34"/>
      <c r="AG35" s="34"/>
      <c r="AH35" s="34"/>
      <c r="AI35" s="34"/>
      <c r="AJ35" s="34">
        <v>23.09</v>
      </c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9"/>
    </row>
    <row r="36" spans="1:50" ht="12" customHeight="1" x14ac:dyDescent="0.35">
      <c r="A36" s="15"/>
      <c r="B36" s="1">
        <v>357</v>
      </c>
      <c r="C36" s="16" t="s">
        <v>273</v>
      </c>
      <c r="D36" s="26"/>
      <c r="E36" s="34"/>
      <c r="F36" s="34">
        <v>-46.18</v>
      </c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>
        <v>-46.18</v>
      </c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>
        <v>-23.09</v>
      </c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9"/>
    </row>
    <row r="37" spans="1:50" ht="12" customHeight="1" x14ac:dyDescent="0.35">
      <c r="A37" s="15"/>
      <c r="B37" s="1">
        <v>398</v>
      </c>
      <c r="C37" s="16" t="s">
        <v>22</v>
      </c>
      <c r="D37" s="26">
        <v>114.8</v>
      </c>
      <c r="E37" s="34">
        <v>137.76</v>
      </c>
      <c r="F37" s="34">
        <v>137.76</v>
      </c>
      <c r="G37" s="34">
        <v>137.76</v>
      </c>
      <c r="H37" s="34">
        <v>137.76</v>
      </c>
      <c r="I37" s="34">
        <v>137.76</v>
      </c>
      <c r="J37" s="34">
        <v>137.76</v>
      </c>
      <c r="K37" s="34">
        <v>133.06</v>
      </c>
      <c r="L37" s="34">
        <v>133.06</v>
      </c>
      <c r="M37" s="34">
        <v>137.76</v>
      </c>
      <c r="N37" s="34">
        <v>137.76</v>
      </c>
      <c r="O37" s="34">
        <v>137.76</v>
      </c>
      <c r="P37" s="34">
        <v>137.76</v>
      </c>
      <c r="Q37" s="34">
        <v>137.76</v>
      </c>
      <c r="R37" s="34">
        <v>137.76</v>
      </c>
      <c r="S37" s="34">
        <v>137.76</v>
      </c>
      <c r="T37" s="34">
        <v>137.76</v>
      </c>
      <c r="U37" s="34"/>
      <c r="V37" s="34">
        <v>137.76</v>
      </c>
      <c r="W37" s="34">
        <v>137.76</v>
      </c>
      <c r="X37" s="34">
        <v>137.76</v>
      </c>
      <c r="Y37" s="34"/>
      <c r="Z37" s="34">
        <v>137.76</v>
      </c>
      <c r="AA37" s="34">
        <v>137.76</v>
      </c>
      <c r="AB37" s="34">
        <v>137.76</v>
      </c>
      <c r="AC37" s="34">
        <v>137.76</v>
      </c>
      <c r="AD37" s="34">
        <v>137.76</v>
      </c>
      <c r="AE37" s="34">
        <v>137.76</v>
      </c>
      <c r="AF37" s="34">
        <v>137.76</v>
      </c>
      <c r="AG37" s="34">
        <v>137.76</v>
      </c>
      <c r="AH37" s="34">
        <v>137.76</v>
      </c>
      <c r="AI37" s="34">
        <v>137.76</v>
      </c>
      <c r="AJ37" s="34">
        <v>137.76</v>
      </c>
      <c r="AK37" s="34">
        <v>110.21</v>
      </c>
      <c r="AL37" s="34">
        <v>137.76</v>
      </c>
      <c r="AM37" s="34">
        <v>137.76</v>
      </c>
      <c r="AN37" s="34">
        <v>137.76</v>
      </c>
      <c r="AO37" s="34">
        <v>137.76</v>
      </c>
      <c r="AP37" s="34">
        <v>137.76</v>
      </c>
      <c r="AQ37" s="34">
        <v>137.76</v>
      </c>
      <c r="AR37" s="34">
        <v>137.76</v>
      </c>
      <c r="AS37" s="34">
        <v>137.76</v>
      </c>
      <c r="AT37" s="34"/>
      <c r="AU37" s="34">
        <v>137.76</v>
      </c>
      <c r="AV37" s="34">
        <v>137.76</v>
      </c>
      <c r="AW37" s="34">
        <v>137.76</v>
      </c>
      <c r="AX37" s="9">
        <v>55.1</v>
      </c>
    </row>
    <row r="38" spans="1:50" ht="12" customHeight="1" x14ac:dyDescent="0.35">
      <c r="A38" s="15"/>
      <c r="B38" s="1">
        <v>451</v>
      </c>
      <c r="C38" s="16" t="s">
        <v>274</v>
      </c>
      <c r="D38" s="26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>
        <v>1886.35</v>
      </c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9"/>
    </row>
    <row r="39" spans="1:50" ht="12" customHeight="1" x14ac:dyDescent="0.35">
      <c r="A39" s="15"/>
      <c r="B39" s="1">
        <v>988</v>
      </c>
      <c r="C39" s="16" t="s">
        <v>83</v>
      </c>
      <c r="D39" s="26">
        <v>4.6100000000000003</v>
      </c>
      <c r="E39" s="34">
        <v>8.43</v>
      </c>
      <c r="F39" s="34">
        <v>11.64</v>
      </c>
      <c r="G39" s="34"/>
      <c r="H39" s="34">
        <v>3.76</v>
      </c>
      <c r="I39" s="34">
        <v>30.46</v>
      </c>
      <c r="J39" s="34">
        <v>4.04</v>
      </c>
      <c r="K39" s="34">
        <v>4.28</v>
      </c>
      <c r="L39" s="34"/>
      <c r="M39" s="34">
        <v>12.7</v>
      </c>
      <c r="N39" s="34">
        <v>3.81</v>
      </c>
      <c r="O39" s="34">
        <v>3.73</v>
      </c>
      <c r="P39" s="34">
        <v>3.69</v>
      </c>
      <c r="Q39" s="34">
        <v>4.43</v>
      </c>
      <c r="R39" s="34">
        <v>3.82</v>
      </c>
      <c r="S39" s="34">
        <v>3.58</v>
      </c>
      <c r="T39" s="34">
        <v>19.489999999999998</v>
      </c>
      <c r="U39" s="34"/>
      <c r="V39" s="34">
        <v>3.77</v>
      </c>
      <c r="W39" s="34">
        <v>3.99</v>
      </c>
      <c r="X39" s="34"/>
      <c r="Y39" s="34">
        <v>3.63</v>
      </c>
      <c r="Z39" s="34">
        <v>3.71</v>
      </c>
      <c r="AA39" s="34"/>
      <c r="AB39" s="34">
        <v>12.2</v>
      </c>
      <c r="AC39" s="34">
        <v>3.79</v>
      </c>
      <c r="AD39" s="34"/>
      <c r="AE39" s="34">
        <v>3.44</v>
      </c>
      <c r="AF39" s="34"/>
      <c r="AG39" s="34"/>
      <c r="AH39" s="34"/>
      <c r="AI39" s="34"/>
      <c r="AJ39" s="34">
        <v>2.65</v>
      </c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9"/>
    </row>
    <row r="40" spans="1:50" ht="12" customHeight="1" x14ac:dyDescent="0.35">
      <c r="A40" s="15"/>
      <c r="B40" s="1"/>
      <c r="C40" s="16"/>
      <c r="D40" s="26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9"/>
    </row>
    <row r="41" spans="1:50" ht="12" customHeight="1" x14ac:dyDescent="0.35">
      <c r="A41" s="15" t="s">
        <v>23</v>
      </c>
      <c r="B41" s="1"/>
      <c r="C41" s="16"/>
      <c r="D41" s="26">
        <f t="shared" ref="D41:AX41" si="0">SUM(D11:D40)</f>
        <v>3220.4800000000009</v>
      </c>
      <c r="E41" s="34">
        <f t="shared" si="0"/>
        <v>3638.44</v>
      </c>
      <c r="F41" s="34">
        <f t="shared" si="0"/>
        <v>3156.1699999999996</v>
      </c>
      <c r="G41" s="34">
        <f t="shared" si="0"/>
        <v>2953.83</v>
      </c>
      <c r="H41" s="34">
        <f t="shared" si="0"/>
        <v>2583.5300000000007</v>
      </c>
      <c r="I41" s="34">
        <f t="shared" si="0"/>
        <v>9797.15</v>
      </c>
      <c r="J41" s="34">
        <f t="shared" si="0"/>
        <v>3019.21</v>
      </c>
      <c r="K41" s="34">
        <f t="shared" si="0"/>
        <v>3167.3600000000006</v>
      </c>
      <c r="L41" s="34">
        <f t="shared" si="0"/>
        <v>3543.15</v>
      </c>
      <c r="M41" s="34">
        <f t="shared" si="0"/>
        <v>7043.88</v>
      </c>
      <c r="N41" s="34">
        <f t="shared" si="0"/>
        <v>2887.9300000000007</v>
      </c>
      <c r="O41" s="34">
        <f t="shared" si="0"/>
        <v>2685.82</v>
      </c>
      <c r="P41" s="34">
        <f t="shared" si="0"/>
        <v>2876.65</v>
      </c>
      <c r="Q41" s="34">
        <f t="shared" si="0"/>
        <v>3969.15</v>
      </c>
      <c r="R41" s="34">
        <f t="shared" si="0"/>
        <v>2689.0400000000004</v>
      </c>
      <c r="S41" s="34">
        <f t="shared" si="0"/>
        <v>2416.67</v>
      </c>
      <c r="T41" s="34">
        <f t="shared" si="0"/>
        <v>6664</v>
      </c>
      <c r="U41" s="34">
        <f t="shared" si="0"/>
        <v>0</v>
      </c>
      <c r="V41" s="34">
        <f t="shared" si="0"/>
        <v>2583.5300000000002</v>
      </c>
      <c r="W41" s="34">
        <f t="shared" si="0"/>
        <v>2833.75</v>
      </c>
      <c r="X41" s="34">
        <f t="shared" si="0"/>
        <v>2765</v>
      </c>
      <c r="Y41" s="34">
        <f t="shared" si="0"/>
        <v>2026.09</v>
      </c>
      <c r="Z41" s="34">
        <f t="shared" si="0"/>
        <v>2583.4700000000003</v>
      </c>
      <c r="AA41" s="34">
        <f t="shared" si="0"/>
        <v>2493.3000000000002</v>
      </c>
      <c r="AB41" s="34">
        <f t="shared" si="0"/>
        <v>2971.4799999999996</v>
      </c>
      <c r="AC41" s="34">
        <f t="shared" si="0"/>
        <v>2672.04</v>
      </c>
      <c r="AD41" s="34">
        <f t="shared" si="0"/>
        <v>2348.33</v>
      </c>
      <c r="AE41" s="34">
        <f t="shared" si="0"/>
        <v>2250.81</v>
      </c>
      <c r="AF41" s="34">
        <f t="shared" si="0"/>
        <v>2598.33</v>
      </c>
      <c r="AG41" s="34">
        <f t="shared" si="0"/>
        <v>2899.54</v>
      </c>
      <c r="AH41" s="34">
        <f t="shared" si="0"/>
        <v>2079.13</v>
      </c>
      <c r="AI41" s="34">
        <f t="shared" si="0"/>
        <v>2152.7600000000002</v>
      </c>
      <c r="AJ41" s="34">
        <f t="shared" si="0"/>
        <v>2312.4100000000003</v>
      </c>
      <c r="AK41" s="34">
        <f t="shared" si="0"/>
        <v>1606</v>
      </c>
      <c r="AL41" s="34">
        <f t="shared" si="0"/>
        <v>2714</v>
      </c>
      <c r="AM41" s="34">
        <f t="shared" si="0"/>
        <v>3075.7299999999996</v>
      </c>
      <c r="AN41" s="34">
        <f t="shared" si="0"/>
        <v>2181.67</v>
      </c>
      <c r="AO41" s="34">
        <f t="shared" si="0"/>
        <v>1765.0000000000002</v>
      </c>
      <c r="AP41" s="34">
        <f t="shared" si="0"/>
        <v>2462.2000000000007</v>
      </c>
      <c r="AQ41" s="34">
        <f t="shared" si="0"/>
        <v>2357.9300000000003</v>
      </c>
      <c r="AR41" s="34">
        <f t="shared" si="0"/>
        <v>1765</v>
      </c>
      <c r="AS41" s="34">
        <f t="shared" si="0"/>
        <v>1764.99</v>
      </c>
      <c r="AT41" s="34">
        <f t="shared" si="0"/>
        <v>0</v>
      </c>
      <c r="AU41" s="34">
        <f t="shared" si="0"/>
        <v>1765</v>
      </c>
      <c r="AV41" s="34">
        <f t="shared" si="0"/>
        <v>1805.8300000000002</v>
      </c>
      <c r="AW41" s="34">
        <f t="shared" si="0"/>
        <v>1940</v>
      </c>
      <c r="AX41" s="9">
        <f t="shared" si="0"/>
        <v>706.74</v>
      </c>
    </row>
    <row r="42" spans="1:50" ht="12" customHeight="1" x14ac:dyDescent="0.35">
      <c r="A42" s="15"/>
      <c r="B42" s="1"/>
      <c r="C42" s="16"/>
      <c r="D42" s="26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9"/>
    </row>
    <row r="43" spans="1:50" ht="12" customHeight="1" x14ac:dyDescent="0.35">
      <c r="A43" s="15"/>
      <c r="B43" s="1">
        <v>789</v>
      </c>
      <c r="C43" s="16" t="s">
        <v>24</v>
      </c>
      <c r="D43" s="26">
        <v>264.86</v>
      </c>
      <c r="E43" s="34">
        <v>296.67</v>
      </c>
      <c r="F43" s="34">
        <v>771.5</v>
      </c>
      <c r="G43" s="34">
        <v>105.5</v>
      </c>
      <c r="H43" s="34">
        <v>415.35</v>
      </c>
      <c r="I43" s="34">
        <v>479.04</v>
      </c>
      <c r="J43" s="34">
        <v>250.16</v>
      </c>
      <c r="K43" s="34">
        <v>284.76</v>
      </c>
      <c r="L43" s="34">
        <v>194.81</v>
      </c>
      <c r="M43" s="34">
        <v>349.52</v>
      </c>
      <c r="N43" s="34">
        <v>369.11</v>
      </c>
      <c r="O43" s="34">
        <v>333.76</v>
      </c>
      <c r="P43" s="34">
        <v>107.96</v>
      </c>
      <c r="Q43" s="34">
        <v>283.06</v>
      </c>
      <c r="R43" s="34">
        <v>185.22</v>
      </c>
      <c r="S43" s="34">
        <v>269.51</v>
      </c>
      <c r="T43" s="34">
        <v>414.28</v>
      </c>
      <c r="U43" s="34"/>
      <c r="V43" s="34">
        <v>270.22000000000003</v>
      </c>
      <c r="W43" s="34">
        <v>638.42999999999995</v>
      </c>
      <c r="X43" s="34">
        <v>27.22</v>
      </c>
      <c r="Y43" s="34">
        <v>121.11</v>
      </c>
      <c r="Z43" s="34">
        <v>871.48</v>
      </c>
      <c r="AA43" s="34">
        <v>144.97</v>
      </c>
      <c r="AB43" s="34">
        <v>194.28</v>
      </c>
      <c r="AC43" s="34">
        <v>153.25</v>
      </c>
      <c r="AD43" s="34">
        <v>696.61</v>
      </c>
      <c r="AE43" s="34">
        <v>94.86</v>
      </c>
      <c r="AF43" s="34">
        <v>202.58</v>
      </c>
      <c r="AG43" s="34">
        <v>97.04</v>
      </c>
      <c r="AH43" s="34">
        <v>64.13</v>
      </c>
      <c r="AI43" s="34">
        <v>137.76</v>
      </c>
      <c r="AJ43" s="34">
        <v>294.76</v>
      </c>
      <c r="AK43" s="34">
        <v>123.87</v>
      </c>
      <c r="AL43" s="34">
        <v>234.29</v>
      </c>
      <c r="AM43" s="34">
        <v>227.4</v>
      </c>
      <c r="AN43" s="34">
        <v>45.05</v>
      </c>
      <c r="AO43" s="34">
        <v>114.53</v>
      </c>
      <c r="AP43" s="34">
        <v>261.89999999999998</v>
      </c>
      <c r="AQ43" s="34">
        <v>9.6</v>
      </c>
      <c r="AR43" s="34"/>
      <c r="AS43" s="34"/>
      <c r="AT43" s="34"/>
      <c r="AU43" s="34">
        <v>10</v>
      </c>
      <c r="AV43" s="34">
        <v>32.700000000000003</v>
      </c>
      <c r="AW43" s="34"/>
      <c r="AX43" s="9"/>
    </row>
    <row r="44" spans="1:50" ht="12" customHeight="1" x14ac:dyDescent="0.35">
      <c r="A44" s="15"/>
      <c r="B44" s="1">
        <v>989</v>
      </c>
      <c r="C44" s="16" t="s">
        <v>85</v>
      </c>
      <c r="D44" s="26">
        <v>4.6100000000000003</v>
      </c>
      <c r="E44" s="34">
        <v>8.43</v>
      </c>
      <c r="F44" s="34">
        <v>11.64</v>
      </c>
      <c r="G44" s="34"/>
      <c r="H44" s="34">
        <v>3.76</v>
      </c>
      <c r="I44" s="34">
        <v>30.46</v>
      </c>
      <c r="J44" s="34">
        <v>4.04</v>
      </c>
      <c r="K44" s="34">
        <v>4.28</v>
      </c>
      <c r="L44" s="34"/>
      <c r="M44" s="34">
        <v>12.7</v>
      </c>
      <c r="N44" s="34">
        <v>3.81</v>
      </c>
      <c r="O44" s="34">
        <v>3.73</v>
      </c>
      <c r="P44" s="34">
        <v>3.69</v>
      </c>
      <c r="Q44" s="34">
        <v>4.43</v>
      </c>
      <c r="R44" s="34">
        <v>3.82</v>
      </c>
      <c r="S44" s="34">
        <v>3.58</v>
      </c>
      <c r="T44" s="34">
        <v>19.489999999999998</v>
      </c>
      <c r="U44" s="34"/>
      <c r="V44" s="34">
        <v>3.77</v>
      </c>
      <c r="W44" s="34">
        <v>3.99</v>
      </c>
      <c r="X44" s="34"/>
      <c r="Y44" s="34">
        <v>3.63</v>
      </c>
      <c r="Z44" s="34">
        <v>3.71</v>
      </c>
      <c r="AA44" s="34"/>
      <c r="AB44" s="34">
        <v>12.2</v>
      </c>
      <c r="AC44" s="34">
        <v>3.79</v>
      </c>
      <c r="AD44" s="34"/>
      <c r="AE44" s="34">
        <v>3.44</v>
      </c>
      <c r="AF44" s="34"/>
      <c r="AG44" s="34"/>
      <c r="AH44" s="34"/>
      <c r="AI44" s="34"/>
      <c r="AJ44" s="34">
        <v>2.65</v>
      </c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9"/>
    </row>
    <row r="45" spans="1:50" ht="12" customHeight="1" x14ac:dyDescent="0.35">
      <c r="A45" s="15"/>
      <c r="B45" s="1">
        <v>995</v>
      </c>
      <c r="C45" s="16" t="s">
        <v>25</v>
      </c>
      <c r="D45" s="26">
        <v>155.97</v>
      </c>
      <c r="E45" s="34">
        <v>176.06</v>
      </c>
      <c r="F45" s="34">
        <v>152.51</v>
      </c>
      <c r="G45" s="34">
        <v>143.26</v>
      </c>
      <c r="H45" s="34">
        <v>125.12</v>
      </c>
      <c r="I45" s="34">
        <v>257.75</v>
      </c>
      <c r="J45" s="34">
        <v>146.22999999999999</v>
      </c>
      <c r="K45" s="34">
        <v>153.4</v>
      </c>
      <c r="L45" s="34">
        <v>171.84</v>
      </c>
      <c r="M45" s="34">
        <v>251.36</v>
      </c>
      <c r="N45" s="34">
        <v>139.88</v>
      </c>
      <c r="O45" s="34">
        <v>130.08000000000001</v>
      </c>
      <c r="P45" s="34">
        <v>139.34</v>
      </c>
      <c r="Q45" s="34">
        <v>192.29</v>
      </c>
      <c r="R45" s="34">
        <v>130.24</v>
      </c>
      <c r="S45" s="34">
        <v>117.04</v>
      </c>
      <c r="T45" s="34">
        <v>250.55</v>
      </c>
      <c r="U45" s="34"/>
      <c r="V45" s="34">
        <v>125.12</v>
      </c>
      <c r="W45" s="34">
        <v>137.24</v>
      </c>
      <c r="X45" s="34">
        <v>134.11000000000001</v>
      </c>
      <c r="Y45" s="34">
        <v>118.04</v>
      </c>
      <c r="Z45" s="34">
        <v>125.12</v>
      </c>
      <c r="AA45" s="34">
        <v>120.93</v>
      </c>
      <c r="AB45" s="34">
        <v>143.53</v>
      </c>
      <c r="AC45" s="34">
        <v>129.41</v>
      </c>
      <c r="AD45" s="34">
        <v>113.89</v>
      </c>
      <c r="AE45" s="34">
        <v>109</v>
      </c>
      <c r="AF45" s="34">
        <v>126.02</v>
      </c>
      <c r="AG45" s="34">
        <v>140.63</v>
      </c>
      <c r="AH45" s="34">
        <v>100.84</v>
      </c>
      <c r="AI45" s="34">
        <v>104.41</v>
      </c>
      <c r="AJ45" s="34">
        <v>112.02</v>
      </c>
      <c r="AK45" s="34">
        <v>77.89</v>
      </c>
      <c r="AL45" s="34">
        <v>131.63</v>
      </c>
      <c r="AM45" s="34">
        <v>149.16999999999999</v>
      </c>
      <c r="AN45" s="34">
        <v>105.81</v>
      </c>
      <c r="AO45" s="34">
        <v>85.61</v>
      </c>
      <c r="AP45" s="34">
        <v>119.41</v>
      </c>
      <c r="AQ45" s="34">
        <v>114.36</v>
      </c>
      <c r="AR45" s="34">
        <v>85.61</v>
      </c>
      <c r="AS45" s="34">
        <v>85.6</v>
      </c>
      <c r="AT45" s="34"/>
      <c r="AU45" s="34">
        <v>85.61</v>
      </c>
      <c r="AV45" s="34">
        <v>87.58</v>
      </c>
      <c r="AW45" s="34">
        <v>94.09</v>
      </c>
      <c r="AX45" s="9">
        <v>34.28</v>
      </c>
    </row>
    <row r="46" spans="1:50" ht="12" customHeight="1" x14ac:dyDescent="0.35">
      <c r="A46" s="15"/>
      <c r="B46" s="1">
        <v>996</v>
      </c>
      <c r="C46" s="16" t="s">
        <v>26</v>
      </c>
      <c r="D46" s="26">
        <v>3.22</v>
      </c>
      <c r="E46" s="34">
        <v>3.63</v>
      </c>
      <c r="F46" s="34">
        <v>3.14</v>
      </c>
      <c r="G46" s="34">
        <v>2.95</v>
      </c>
      <c r="H46" s="34">
        <v>2.58</v>
      </c>
      <c r="I46" s="34">
        <v>5.0999999999999996</v>
      </c>
      <c r="J46" s="34">
        <v>3.02</v>
      </c>
      <c r="K46" s="34">
        <v>3.16</v>
      </c>
      <c r="L46" s="34">
        <v>3.54</v>
      </c>
      <c r="M46" s="34">
        <v>5.0999999999999996</v>
      </c>
      <c r="N46" s="34">
        <v>2.88</v>
      </c>
      <c r="O46" s="34">
        <v>2.68</v>
      </c>
      <c r="P46" s="34">
        <v>2.87</v>
      </c>
      <c r="Q46" s="34">
        <v>3.96</v>
      </c>
      <c r="R46" s="34">
        <v>2.69</v>
      </c>
      <c r="S46" s="34">
        <v>2.41</v>
      </c>
      <c r="T46" s="34">
        <v>5.0999999999999996</v>
      </c>
      <c r="U46" s="34"/>
      <c r="V46" s="34">
        <v>2.58</v>
      </c>
      <c r="W46" s="34">
        <v>2.83</v>
      </c>
      <c r="X46" s="34">
        <v>2.77</v>
      </c>
      <c r="Y46" s="34">
        <v>2.4300000000000002</v>
      </c>
      <c r="Z46" s="34">
        <v>2.58</v>
      </c>
      <c r="AA46" s="34">
        <v>2.4900000000000002</v>
      </c>
      <c r="AB46" s="34">
        <v>2.96</v>
      </c>
      <c r="AC46" s="34">
        <v>2.67</v>
      </c>
      <c r="AD46" s="34">
        <v>2.35</v>
      </c>
      <c r="AE46" s="34">
        <v>2.25</v>
      </c>
      <c r="AF46" s="34">
        <v>2.6</v>
      </c>
      <c r="AG46" s="34">
        <v>2.9</v>
      </c>
      <c r="AH46" s="34">
        <v>2.08</v>
      </c>
      <c r="AI46" s="34">
        <v>2.15</v>
      </c>
      <c r="AJ46" s="34">
        <v>2.31</v>
      </c>
      <c r="AK46" s="34">
        <v>1.61</v>
      </c>
      <c r="AL46" s="34">
        <v>2.71</v>
      </c>
      <c r="AM46" s="34">
        <v>3.08</v>
      </c>
      <c r="AN46" s="34">
        <v>2.1800000000000002</v>
      </c>
      <c r="AO46" s="34">
        <v>1.77</v>
      </c>
      <c r="AP46" s="34">
        <v>2.46</v>
      </c>
      <c r="AQ46" s="34">
        <v>2.36</v>
      </c>
      <c r="AR46" s="34">
        <v>1.77</v>
      </c>
      <c r="AS46" s="34">
        <v>1.76</v>
      </c>
      <c r="AT46" s="34"/>
      <c r="AU46" s="34">
        <v>1.77</v>
      </c>
      <c r="AV46" s="34">
        <v>1.81</v>
      </c>
      <c r="AW46" s="34">
        <v>1.94</v>
      </c>
      <c r="AX46" s="9">
        <v>0.71</v>
      </c>
    </row>
    <row r="47" spans="1:50" ht="12" customHeight="1" x14ac:dyDescent="0.35">
      <c r="A47" s="15"/>
      <c r="B47" s="1">
        <v>997</v>
      </c>
      <c r="C47" s="16" t="s">
        <v>27</v>
      </c>
      <c r="D47" s="26">
        <v>49.85</v>
      </c>
      <c r="E47" s="34">
        <v>56.27</v>
      </c>
      <c r="F47" s="34">
        <v>48.74</v>
      </c>
      <c r="G47" s="34">
        <v>45.78</v>
      </c>
      <c r="H47" s="34">
        <v>39.99</v>
      </c>
      <c r="I47" s="34">
        <v>79.069999999999993</v>
      </c>
      <c r="J47" s="34">
        <v>46.74</v>
      </c>
      <c r="K47" s="34">
        <v>49.03</v>
      </c>
      <c r="L47" s="34">
        <v>54.92</v>
      </c>
      <c r="M47" s="34">
        <v>79.069999999999993</v>
      </c>
      <c r="N47" s="34">
        <v>44.7</v>
      </c>
      <c r="O47" s="34">
        <v>41.57</v>
      </c>
      <c r="P47" s="34">
        <v>44.53</v>
      </c>
      <c r="Q47" s="34">
        <v>61.45</v>
      </c>
      <c r="R47" s="34">
        <v>41.62</v>
      </c>
      <c r="S47" s="34">
        <v>37.4</v>
      </c>
      <c r="T47" s="34">
        <v>79.069999999999993</v>
      </c>
      <c r="U47" s="34"/>
      <c r="V47" s="34">
        <v>39.99</v>
      </c>
      <c r="W47" s="34">
        <v>43.86</v>
      </c>
      <c r="X47" s="34">
        <v>42.86</v>
      </c>
      <c r="Y47" s="34">
        <v>37.729999999999997</v>
      </c>
      <c r="Z47" s="34">
        <v>39.99</v>
      </c>
      <c r="AA47" s="34">
        <v>38.65</v>
      </c>
      <c r="AB47" s="34">
        <v>45.87</v>
      </c>
      <c r="AC47" s="34">
        <v>41.36</v>
      </c>
      <c r="AD47" s="34">
        <v>36.4</v>
      </c>
      <c r="AE47" s="34">
        <v>34.83</v>
      </c>
      <c r="AF47" s="34">
        <v>40.270000000000003</v>
      </c>
      <c r="AG47" s="34">
        <v>44.94</v>
      </c>
      <c r="AH47" s="34">
        <v>32.229999999999997</v>
      </c>
      <c r="AI47" s="34">
        <v>33.369999999999997</v>
      </c>
      <c r="AJ47" s="34">
        <v>35.799999999999997</v>
      </c>
      <c r="AK47" s="34">
        <v>24.89</v>
      </c>
      <c r="AL47" s="34">
        <v>42.07</v>
      </c>
      <c r="AM47" s="34">
        <v>47.67</v>
      </c>
      <c r="AN47" s="34">
        <v>33.82</v>
      </c>
      <c r="AO47" s="34">
        <v>27.36</v>
      </c>
      <c r="AP47" s="34">
        <v>38.159999999999997</v>
      </c>
      <c r="AQ47" s="34">
        <v>36.549999999999997</v>
      </c>
      <c r="AR47" s="34">
        <v>27.36</v>
      </c>
      <c r="AS47" s="34">
        <v>27.36</v>
      </c>
      <c r="AT47" s="34"/>
      <c r="AU47" s="34">
        <v>27.36</v>
      </c>
      <c r="AV47" s="34">
        <v>27.99</v>
      </c>
      <c r="AW47" s="34">
        <v>30.07</v>
      </c>
      <c r="AX47" s="9">
        <v>10.95</v>
      </c>
    </row>
    <row r="48" spans="1:50" ht="12" customHeight="1" x14ac:dyDescent="0.35">
      <c r="A48" s="15"/>
      <c r="B48" s="1">
        <v>999</v>
      </c>
      <c r="C48" s="16" t="s">
        <v>28</v>
      </c>
      <c r="D48" s="26">
        <v>589.61</v>
      </c>
      <c r="E48" s="34">
        <v>608.66999999999996</v>
      </c>
      <c r="F48" s="34">
        <v>398.67</v>
      </c>
      <c r="G48" s="34">
        <v>509</v>
      </c>
      <c r="H48" s="34">
        <v>352.15</v>
      </c>
      <c r="I48" s="34">
        <v>3063.07</v>
      </c>
      <c r="J48" s="34">
        <v>483.6</v>
      </c>
      <c r="K48" s="34">
        <v>533.92999999999995</v>
      </c>
      <c r="L48" s="34">
        <v>624.79999999999995</v>
      </c>
      <c r="M48" s="34">
        <v>1838.12</v>
      </c>
      <c r="N48" s="34">
        <v>415.48</v>
      </c>
      <c r="O48" s="34">
        <v>379.72</v>
      </c>
      <c r="P48" s="34">
        <v>441.85</v>
      </c>
      <c r="Q48" s="34">
        <v>705.77</v>
      </c>
      <c r="R48" s="34">
        <v>414</v>
      </c>
      <c r="S48" s="34">
        <v>332.04</v>
      </c>
      <c r="T48" s="34">
        <v>1753.19</v>
      </c>
      <c r="U48" s="34"/>
      <c r="V48" s="34">
        <v>377.15</v>
      </c>
      <c r="W48" s="34">
        <v>378.22</v>
      </c>
      <c r="X48" s="34">
        <v>480.48</v>
      </c>
      <c r="Y48" s="34">
        <v>298.89</v>
      </c>
      <c r="Z48" s="34">
        <v>274.18</v>
      </c>
      <c r="AA48" s="34">
        <v>368.22</v>
      </c>
      <c r="AB48" s="34">
        <v>486.92</v>
      </c>
      <c r="AC48" s="34">
        <v>412.96</v>
      </c>
      <c r="AD48" s="34">
        <v>221.66</v>
      </c>
      <c r="AE48" s="34">
        <v>320.72000000000003</v>
      </c>
      <c r="AF48" s="34">
        <v>362.72</v>
      </c>
      <c r="AG48" s="34">
        <v>498.85</v>
      </c>
      <c r="AH48" s="34">
        <v>275.25</v>
      </c>
      <c r="AI48" s="34">
        <v>279.08</v>
      </c>
      <c r="AJ48" s="34">
        <v>231.52</v>
      </c>
      <c r="AK48" s="34">
        <v>168.22</v>
      </c>
      <c r="AL48" s="34">
        <v>341.46</v>
      </c>
      <c r="AM48" s="34">
        <v>506.15</v>
      </c>
      <c r="AN48" s="34">
        <v>314.08</v>
      </c>
      <c r="AO48" s="34">
        <v>170.49</v>
      </c>
      <c r="AP48" s="34">
        <v>325.86</v>
      </c>
      <c r="AQ48" s="34">
        <v>370.57</v>
      </c>
      <c r="AR48" s="34">
        <v>187.09</v>
      </c>
      <c r="AS48" s="34">
        <v>213.56</v>
      </c>
      <c r="AT48" s="34"/>
      <c r="AU48" s="34">
        <v>188.14</v>
      </c>
      <c r="AV48" s="34">
        <v>186.53</v>
      </c>
      <c r="AW48" s="34">
        <v>254.14</v>
      </c>
      <c r="AX48" s="9">
        <v>62.05</v>
      </c>
    </row>
    <row r="49" spans="1:50" ht="12" customHeight="1" x14ac:dyDescent="0.35">
      <c r="A49" s="15"/>
      <c r="B49" s="1"/>
      <c r="C49" s="16"/>
      <c r="D49" s="26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9"/>
    </row>
    <row r="50" spans="1:50" ht="12" customHeight="1" x14ac:dyDescent="0.35">
      <c r="A50" s="15" t="s">
        <v>29</v>
      </c>
      <c r="B50" s="1"/>
      <c r="C50" s="16"/>
      <c r="D50" s="26">
        <f t="shared" ref="D50:AX50" si="1">SUM(D42:D49)</f>
        <v>1068.1200000000001</v>
      </c>
      <c r="E50" s="34">
        <f t="shared" si="1"/>
        <v>1149.73</v>
      </c>
      <c r="F50" s="34">
        <f t="shared" si="1"/>
        <v>1386.2</v>
      </c>
      <c r="G50" s="34">
        <f t="shared" si="1"/>
        <v>806.49</v>
      </c>
      <c r="H50" s="34">
        <f t="shared" si="1"/>
        <v>938.95</v>
      </c>
      <c r="I50" s="34">
        <f t="shared" si="1"/>
        <v>3914.4900000000002</v>
      </c>
      <c r="J50" s="34">
        <f t="shared" si="1"/>
        <v>933.79</v>
      </c>
      <c r="K50" s="34">
        <f t="shared" si="1"/>
        <v>1028.56</v>
      </c>
      <c r="L50" s="34">
        <f t="shared" si="1"/>
        <v>1049.9099999999999</v>
      </c>
      <c r="M50" s="34">
        <f t="shared" si="1"/>
        <v>2535.87</v>
      </c>
      <c r="N50" s="34">
        <f t="shared" si="1"/>
        <v>975.86</v>
      </c>
      <c r="O50" s="34">
        <f t="shared" si="1"/>
        <v>891.54000000000008</v>
      </c>
      <c r="P50" s="34">
        <f t="shared" si="1"/>
        <v>740.24</v>
      </c>
      <c r="Q50" s="34">
        <f t="shared" si="1"/>
        <v>1250.96</v>
      </c>
      <c r="R50" s="34">
        <f t="shared" si="1"/>
        <v>777.58999999999992</v>
      </c>
      <c r="S50" s="34">
        <f t="shared" si="1"/>
        <v>761.98</v>
      </c>
      <c r="T50" s="34">
        <f t="shared" si="1"/>
        <v>2521.6800000000003</v>
      </c>
      <c r="U50" s="34">
        <f t="shared" si="1"/>
        <v>0</v>
      </c>
      <c r="V50" s="34">
        <f t="shared" si="1"/>
        <v>818.82999999999993</v>
      </c>
      <c r="W50" s="34">
        <f t="shared" si="1"/>
        <v>1204.5700000000002</v>
      </c>
      <c r="X50" s="34">
        <f t="shared" si="1"/>
        <v>687.44</v>
      </c>
      <c r="Y50" s="34">
        <f t="shared" si="1"/>
        <v>581.82999999999993</v>
      </c>
      <c r="Z50" s="34">
        <f t="shared" si="1"/>
        <v>1317.0600000000002</v>
      </c>
      <c r="AA50" s="34">
        <f t="shared" si="1"/>
        <v>675.26</v>
      </c>
      <c r="AB50" s="34">
        <f t="shared" si="1"/>
        <v>885.76</v>
      </c>
      <c r="AC50" s="34">
        <f t="shared" si="1"/>
        <v>743.44</v>
      </c>
      <c r="AD50" s="34">
        <f t="shared" si="1"/>
        <v>1070.9100000000001</v>
      </c>
      <c r="AE50" s="34">
        <f t="shared" si="1"/>
        <v>565.1</v>
      </c>
      <c r="AF50" s="34">
        <f t="shared" si="1"/>
        <v>734.19</v>
      </c>
      <c r="AG50" s="34">
        <f t="shared" si="1"/>
        <v>784.36</v>
      </c>
      <c r="AH50" s="34">
        <f t="shared" si="1"/>
        <v>474.53</v>
      </c>
      <c r="AI50" s="34">
        <f t="shared" si="1"/>
        <v>556.77</v>
      </c>
      <c r="AJ50" s="34">
        <f t="shared" si="1"/>
        <v>679.06</v>
      </c>
      <c r="AK50" s="34">
        <f t="shared" si="1"/>
        <v>396.48</v>
      </c>
      <c r="AL50" s="34">
        <f t="shared" si="1"/>
        <v>752.15999999999985</v>
      </c>
      <c r="AM50" s="34">
        <f t="shared" si="1"/>
        <v>933.47</v>
      </c>
      <c r="AN50" s="34">
        <f t="shared" si="1"/>
        <v>500.94</v>
      </c>
      <c r="AO50" s="34">
        <f t="shared" si="1"/>
        <v>399.76</v>
      </c>
      <c r="AP50" s="34">
        <f t="shared" si="1"/>
        <v>747.79</v>
      </c>
      <c r="AQ50" s="34">
        <f t="shared" si="1"/>
        <v>533.44000000000005</v>
      </c>
      <c r="AR50" s="34">
        <f t="shared" si="1"/>
        <v>301.83</v>
      </c>
      <c r="AS50" s="34">
        <f t="shared" si="1"/>
        <v>328.28</v>
      </c>
      <c r="AT50" s="34">
        <f t="shared" si="1"/>
        <v>0</v>
      </c>
      <c r="AU50" s="34">
        <f t="shared" si="1"/>
        <v>312.88</v>
      </c>
      <c r="AV50" s="34">
        <f t="shared" si="1"/>
        <v>336.61</v>
      </c>
      <c r="AW50" s="34">
        <f t="shared" si="1"/>
        <v>380.24</v>
      </c>
      <c r="AX50" s="9">
        <f t="shared" si="1"/>
        <v>107.99</v>
      </c>
    </row>
    <row r="51" spans="1:50" ht="12" customHeight="1" x14ac:dyDescent="0.35">
      <c r="A51" s="15"/>
      <c r="B51" s="1"/>
      <c r="C51" s="16"/>
      <c r="D51" s="26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9"/>
    </row>
    <row r="52" spans="1:50" ht="12" customHeight="1" x14ac:dyDescent="0.35">
      <c r="A52" s="15" t="s">
        <v>30</v>
      </c>
      <c r="B52" s="1"/>
      <c r="C52" s="16"/>
      <c r="D52" s="26">
        <f t="shared" ref="D52:AX52" si="2">(D41-D50)</f>
        <v>2152.3600000000006</v>
      </c>
      <c r="E52" s="34">
        <f t="shared" si="2"/>
        <v>2488.71</v>
      </c>
      <c r="F52" s="34">
        <f t="shared" si="2"/>
        <v>1769.9699999999996</v>
      </c>
      <c r="G52" s="34">
        <f t="shared" si="2"/>
        <v>2147.34</v>
      </c>
      <c r="H52" s="34">
        <f t="shared" si="2"/>
        <v>1644.5800000000006</v>
      </c>
      <c r="I52" s="34">
        <f t="shared" si="2"/>
        <v>5882.66</v>
      </c>
      <c r="J52" s="34">
        <f t="shared" si="2"/>
        <v>2085.42</v>
      </c>
      <c r="K52" s="34">
        <f t="shared" si="2"/>
        <v>2138.8000000000006</v>
      </c>
      <c r="L52" s="34">
        <f t="shared" si="2"/>
        <v>2493.2400000000002</v>
      </c>
      <c r="M52" s="34">
        <f t="shared" si="2"/>
        <v>4508.01</v>
      </c>
      <c r="N52" s="34">
        <f t="shared" si="2"/>
        <v>1912.0700000000006</v>
      </c>
      <c r="O52" s="34">
        <f t="shared" si="2"/>
        <v>1794.2800000000002</v>
      </c>
      <c r="P52" s="34">
        <f t="shared" si="2"/>
        <v>2136.41</v>
      </c>
      <c r="Q52" s="34">
        <f t="shared" si="2"/>
        <v>2718.19</v>
      </c>
      <c r="R52" s="34">
        <f t="shared" si="2"/>
        <v>1911.4500000000005</v>
      </c>
      <c r="S52" s="34">
        <f t="shared" si="2"/>
        <v>1654.69</v>
      </c>
      <c r="T52" s="34">
        <f t="shared" si="2"/>
        <v>4142.32</v>
      </c>
      <c r="U52" s="34">
        <f t="shared" si="2"/>
        <v>0</v>
      </c>
      <c r="V52" s="34">
        <f t="shared" si="2"/>
        <v>1764.7000000000003</v>
      </c>
      <c r="W52" s="34">
        <f t="shared" si="2"/>
        <v>1629.1799999999998</v>
      </c>
      <c r="X52" s="34">
        <f t="shared" si="2"/>
        <v>2077.56</v>
      </c>
      <c r="Y52" s="34">
        <f t="shared" si="2"/>
        <v>1444.26</v>
      </c>
      <c r="Z52" s="34">
        <f t="shared" si="2"/>
        <v>1266.4100000000001</v>
      </c>
      <c r="AA52" s="34">
        <f t="shared" si="2"/>
        <v>1818.0400000000002</v>
      </c>
      <c r="AB52" s="34">
        <f t="shared" si="2"/>
        <v>2085.7199999999993</v>
      </c>
      <c r="AC52" s="34">
        <f t="shared" si="2"/>
        <v>1928.6</v>
      </c>
      <c r="AD52" s="34">
        <f t="shared" si="2"/>
        <v>1277.4199999999998</v>
      </c>
      <c r="AE52" s="34">
        <f t="shared" si="2"/>
        <v>1685.71</v>
      </c>
      <c r="AF52" s="34">
        <f t="shared" si="2"/>
        <v>1864.1399999999999</v>
      </c>
      <c r="AG52" s="34">
        <f t="shared" si="2"/>
        <v>2115.1799999999998</v>
      </c>
      <c r="AH52" s="34">
        <f t="shared" si="2"/>
        <v>1604.6000000000001</v>
      </c>
      <c r="AI52" s="34">
        <f t="shared" si="2"/>
        <v>1595.9900000000002</v>
      </c>
      <c r="AJ52" s="34">
        <f t="shared" si="2"/>
        <v>1633.3500000000004</v>
      </c>
      <c r="AK52" s="34">
        <f t="shared" si="2"/>
        <v>1209.52</v>
      </c>
      <c r="AL52" s="34">
        <f t="shared" si="2"/>
        <v>1961.8400000000001</v>
      </c>
      <c r="AM52" s="34">
        <f t="shared" si="2"/>
        <v>2142.2599999999993</v>
      </c>
      <c r="AN52" s="34">
        <f t="shared" si="2"/>
        <v>1680.73</v>
      </c>
      <c r="AO52" s="34">
        <f t="shared" si="2"/>
        <v>1365.2400000000002</v>
      </c>
      <c r="AP52" s="34">
        <f t="shared" si="2"/>
        <v>1714.4100000000008</v>
      </c>
      <c r="AQ52" s="34">
        <f t="shared" si="2"/>
        <v>1824.4900000000002</v>
      </c>
      <c r="AR52" s="34">
        <f t="shared" si="2"/>
        <v>1463.17</v>
      </c>
      <c r="AS52" s="34">
        <f t="shared" si="2"/>
        <v>1436.71</v>
      </c>
      <c r="AT52" s="34">
        <f t="shared" si="2"/>
        <v>0</v>
      </c>
      <c r="AU52" s="34">
        <f t="shared" si="2"/>
        <v>1452.12</v>
      </c>
      <c r="AV52" s="34">
        <f t="shared" si="2"/>
        <v>1469.2200000000003</v>
      </c>
      <c r="AW52" s="34">
        <f t="shared" si="2"/>
        <v>1559.76</v>
      </c>
      <c r="AX52" s="9">
        <f t="shared" si="2"/>
        <v>598.75</v>
      </c>
    </row>
    <row r="53" spans="1:50" ht="12" customHeight="1" x14ac:dyDescent="0.35">
      <c r="A53" s="15" t="s">
        <v>31</v>
      </c>
      <c r="B53" s="1"/>
      <c r="C53" s="16"/>
      <c r="D53" s="26">
        <v>0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34">
        <v>0</v>
      </c>
      <c r="R53" s="34">
        <v>0</v>
      </c>
      <c r="S53" s="34">
        <v>0</v>
      </c>
      <c r="T53" s="34">
        <v>0</v>
      </c>
      <c r="U53" s="34">
        <v>0</v>
      </c>
      <c r="V53" s="34">
        <v>0</v>
      </c>
      <c r="W53" s="34">
        <v>0</v>
      </c>
      <c r="X53" s="34">
        <v>0</v>
      </c>
      <c r="Y53" s="34">
        <v>0</v>
      </c>
      <c r="Z53" s="34">
        <v>0</v>
      </c>
      <c r="AA53" s="34">
        <v>0</v>
      </c>
      <c r="AB53" s="34">
        <v>0</v>
      </c>
      <c r="AC53" s="34">
        <v>0</v>
      </c>
      <c r="AD53" s="34">
        <v>0</v>
      </c>
      <c r="AE53" s="34">
        <v>0</v>
      </c>
      <c r="AF53" s="34">
        <v>0</v>
      </c>
      <c r="AG53" s="34">
        <v>0</v>
      </c>
      <c r="AH53" s="34">
        <v>0</v>
      </c>
      <c r="AI53" s="34">
        <v>0</v>
      </c>
      <c r="AJ53" s="34">
        <v>0</v>
      </c>
      <c r="AK53" s="34">
        <v>0</v>
      </c>
      <c r="AL53" s="34">
        <v>0</v>
      </c>
      <c r="AM53" s="34">
        <v>0</v>
      </c>
      <c r="AN53" s="34">
        <v>0</v>
      </c>
      <c r="AO53" s="34">
        <v>0</v>
      </c>
      <c r="AP53" s="34">
        <v>0</v>
      </c>
      <c r="AQ53" s="34">
        <v>0</v>
      </c>
      <c r="AR53" s="34">
        <v>0</v>
      </c>
      <c r="AS53" s="34">
        <v>0</v>
      </c>
      <c r="AT53" s="34">
        <v>0</v>
      </c>
      <c r="AU53" s="34">
        <v>0</v>
      </c>
      <c r="AV53" s="34">
        <v>0</v>
      </c>
      <c r="AW53" s="34">
        <v>0</v>
      </c>
      <c r="AX53" s="9">
        <v>0</v>
      </c>
    </row>
    <row r="54" spans="1:50" ht="12" customHeight="1" x14ac:dyDescent="0.35">
      <c r="A54" s="15" t="s">
        <v>32</v>
      </c>
      <c r="B54" s="1"/>
      <c r="C54" s="16"/>
      <c r="D54" s="26">
        <v>1209.77</v>
      </c>
      <c r="E54" s="34">
        <v>1167.04</v>
      </c>
      <c r="F54" s="34">
        <v>1010.97</v>
      </c>
      <c r="G54" s="34">
        <v>949.67</v>
      </c>
      <c r="H54" s="34">
        <v>829.39</v>
      </c>
      <c r="I54" s="34">
        <v>1691.95</v>
      </c>
      <c r="J54" s="34">
        <v>969.38</v>
      </c>
      <c r="K54" s="34">
        <v>1016.94</v>
      </c>
      <c r="L54" s="34">
        <v>1139.1300000000001</v>
      </c>
      <c r="M54" s="34">
        <v>1659.7</v>
      </c>
      <c r="N54" s="34">
        <v>927.26</v>
      </c>
      <c r="O54" s="34">
        <v>862.29</v>
      </c>
      <c r="P54" s="34">
        <v>923.66</v>
      </c>
      <c r="Q54" s="34">
        <v>1274.6600000000001</v>
      </c>
      <c r="R54" s="34">
        <v>863.3</v>
      </c>
      <c r="S54" s="34">
        <v>775.8</v>
      </c>
      <c r="T54" s="34">
        <v>1655.67</v>
      </c>
      <c r="U54" s="34">
        <v>959</v>
      </c>
      <c r="V54" s="34">
        <v>829.39</v>
      </c>
      <c r="W54" s="34">
        <v>909.78</v>
      </c>
      <c r="X54" s="34">
        <v>888.95</v>
      </c>
      <c r="Y54" s="34">
        <v>-1103.8399999999999</v>
      </c>
      <c r="Z54" s="34">
        <v>829.39</v>
      </c>
      <c r="AA54" s="34">
        <v>801.59</v>
      </c>
      <c r="AB54" s="34">
        <v>951.39</v>
      </c>
      <c r="AC54" s="34">
        <v>857.84</v>
      </c>
      <c r="AD54" s="34">
        <v>755</v>
      </c>
      <c r="AE54" s="34">
        <v>722.53</v>
      </c>
      <c r="AF54" s="34">
        <v>835.37</v>
      </c>
      <c r="AG54" s="34">
        <v>932.22</v>
      </c>
      <c r="AH54" s="34">
        <v>668.42</v>
      </c>
      <c r="AI54" s="34">
        <v>692.11</v>
      </c>
      <c r="AJ54" s="34">
        <v>742.6</v>
      </c>
      <c r="AK54" s="34">
        <v>624.29999999999995</v>
      </c>
      <c r="AL54" s="34">
        <v>872.56</v>
      </c>
      <c r="AM54" s="34">
        <v>988.85</v>
      </c>
      <c r="AN54" s="34">
        <v>701.4</v>
      </c>
      <c r="AO54" s="34">
        <v>567.45000000000005</v>
      </c>
      <c r="AP54" s="34">
        <v>791.62</v>
      </c>
      <c r="AQ54" s="34">
        <v>758.07</v>
      </c>
      <c r="AR54" s="34">
        <v>567.45000000000005</v>
      </c>
      <c r="AS54" s="34">
        <v>567.42999999999995</v>
      </c>
      <c r="AT54" s="34">
        <v>567.41999999999996</v>
      </c>
      <c r="AU54" s="34">
        <v>567.45000000000005</v>
      </c>
      <c r="AV54" s="34">
        <v>580.57000000000005</v>
      </c>
      <c r="AW54" s="34">
        <v>623.71</v>
      </c>
      <c r="AX54" s="9">
        <v>227.22</v>
      </c>
    </row>
    <row r="55" spans="1:50" ht="12" customHeight="1" x14ac:dyDescent="0.35">
      <c r="A55" s="15" t="s">
        <v>33</v>
      </c>
      <c r="B55" s="1"/>
      <c r="C55" s="16"/>
      <c r="D55" s="26">
        <v>209.04</v>
      </c>
      <c r="E55" s="34">
        <v>235.96</v>
      </c>
      <c r="F55" s="34">
        <v>204.39</v>
      </c>
      <c r="G55" s="34">
        <v>191.99</v>
      </c>
      <c r="H55" s="34">
        <v>167.69</v>
      </c>
      <c r="I55" s="34">
        <v>341.92</v>
      </c>
      <c r="J55" s="34">
        <v>195.99</v>
      </c>
      <c r="K55" s="34">
        <v>205.59</v>
      </c>
      <c r="L55" s="34">
        <v>230.3</v>
      </c>
      <c r="M55" s="34">
        <v>335.53</v>
      </c>
      <c r="N55" s="34">
        <v>187.46</v>
      </c>
      <c r="O55" s="34">
        <v>174.33</v>
      </c>
      <c r="P55" s="34">
        <v>186.74</v>
      </c>
      <c r="Q55" s="34">
        <v>257.7</v>
      </c>
      <c r="R55" s="34">
        <v>174.55</v>
      </c>
      <c r="S55" s="34">
        <v>156.85</v>
      </c>
      <c r="T55" s="34">
        <v>334.72</v>
      </c>
      <c r="U55" s="34">
        <v>0</v>
      </c>
      <c r="V55" s="34">
        <v>167.69</v>
      </c>
      <c r="W55" s="34">
        <v>183.93</v>
      </c>
      <c r="X55" s="34">
        <v>179.74</v>
      </c>
      <c r="Y55" s="34">
        <v>158.19999999999999</v>
      </c>
      <c r="Z55" s="34">
        <v>167.69</v>
      </c>
      <c r="AA55" s="34">
        <v>162.07</v>
      </c>
      <c r="AB55" s="34">
        <v>192.36</v>
      </c>
      <c r="AC55" s="34">
        <v>173.44</v>
      </c>
      <c r="AD55" s="34">
        <v>152.63999999999999</v>
      </c>
      <c r="AE55" s="34">
        <v>146.08000000000001</v>
      </c>
      <c r="AF55" s="34">
        <v>168.89</v>
      </c>
      <c r="AG55" s="34">
        <v>188.47</v>
      </c>
      <c r="AH55" s="34">
        <v>135.15</v>
      </c>
      <c r="AI55" s="34">
        <v>139.93</v>
      </c>
      <c r="AJ55" s="34">
        <v>150.13</v>
      </c>
      <c r="AK55" s="34">
        <v>104.39</v>
      </c>
      <c r="AL55" s="34">
        <v>176.41</v>
      </c>
      <c r="AM55" s="34">
        <v>199.92</v>
      </c>
      <c r="AN55" s="34">
        <v>141.81</v>
      </c>
      <c r="AO55" s="34">
        <v>114.74</v>
      </c>
      <c r="AP55" s="34">
        <v>160.03</v>
      </c>
      <c r="AQ55" s="34">
        <v>153.27000000000001</v>
      </c>
      <c r="AR55" s="34">
        <v>114.74</v>
      </c>
      <c r="AS55" s="34">
        <v>114.72</v>
      </c>
      <c r="AT55" s="34">
        <v>0</v>
      </c>
      <c r="AU55" s="34">
        <v>114.74</v>
      </c>
      <c r="AV55" s="34">
        <v>117.38</v>
      </c>
      <c r="AW55" s="34">
        <v>126.1</v>
      </c>
      <c r="AX55" s="9">
        <v>45.94</v>
      </c>
    </row>
    <row r="56" spans="1:50" ht="12" customHeight="1" x14ac:dyDescent="0.35">
      <c r="A56" s="15" t="s">
        <v>34</v>
      </c>
      <c r="B56" s="1"/>
      <c r="C56" s="16"/>
      <c r="D56" s="26">
        <v>1418.81</v>
      </c>
      <c r="E56" s="34">
        <v>1403</v>
      </c>
      <c r="F56" s="34">
        <v>1215.3599999999999</v>
      </c>
      <c r="G56" s="34">
        <v>1141.6600000000001</v>
      </c>
      <c r="H56" s="34">
        <v>997.08</v>
      </c>
      <c r="I56" s="34">
        <v>2033.87</v>
      </c>
      <c r="J56" s="34">
        <v>1165.3699999999999</v>
      </c>
      <c r="K56" s="34">
        <v>1222.53</v>
      </c>
      <c r="L56" s="34">
        <v>1369.43</v>
      </c>
      <c r="M56" s="34">
        <v>1995.23</v>
      </c>
      <c r="N56" s="34">
        <v>1114.72</v>
      </c>
      <c r="O56" s="34">
        <v>1036.6199999999999</v>
      </c>
      <c r="P56" s="34">
        <v>1110.4000000000001</v>
      </c>
      <c r="Q56" s="34">
        <v>1532.36</v>
      </c>
      <c r="R56" s="34">
        <v>1037.8499999999999</v>
      </c>
      <c r="S56" s="34">
        <v>932.65</v>
      </c>
      <c r="T56" s="34">
        <v>1990.39</v>
      </c>
      <c r="U56" s="34">
        <v>959</v>
      </c>
      <c r="V56" s="34">
        <v>997.08</v>
      </c>
      <c r="W56" s="34">
        <v>1093.71</v>
      </c>
      <c r="X56" s="34">
        <v>1068.69</v>
      </c>
      <c r="Y56" s="34">
        <v>-945.64</v>
      </c>
      <c r="Z56" s="34">
        <v>997.08</v>
      </c>
      <c r="AA56" s="34">
        <v>963.66</v>
      </c>
      <c r="AB56" s="34">
        <v>1143.75</v>
      </c>
      <c r="AC56" s="34">
        <v>1031.28</v>
      </c>
      <c r="AD56" s="34">
        <v>907.64</v>
      </c>
      <c r="AE56" s="34">
        <v>868.61</v>
      </c>
      <c r="AF56" s="34">
        <v>1004.26</v>
      </c>
      <c r="AG56" s="34">
        <v>1120.69</v>
      </c>
      <c r="AH56" s="34">
        <v>803.57</v>
      </c>
      <c r="AI56" s="34">
        <v>832.04</v>
      </c>
      <c r="AJ56" s="34">
        <v>892.73</v>
      </c>
      <c r="AK56" s="34">
        <v>728.69</v>
      </c>
      <c r="AL56" s="34">
        <v>1048.97</v>
      </c>
      <c r="AM56" s="34">
        <v>1188.77</v>
      </c>
      <c r="AN56" s="34">
        <v>843.21</v>
      </c>
      <c r="AO56" s="34">
        <v>682.19</v>
      </c>
      <c r="AP56" s="34">
        <v>951.65</v>
      </c>
      <c r="AQ56" s="34">
        <v>911.34</v>
      </c>
      <c r="AR56" s="34">
        <v>682.19</v>
      </c>
      <c r="AS56" s="34">
        <v>682.15</v>
      </c>
      <c r="AT56" s="34">
        <v>567.41999999999996</v>
      </c>
      <c r="AU56" s="34">
        <v>682.19</v>
      </c>
      <c r="AV56" s="34">
        <v>697.95</v>
      </c>
      <c r="AW56" s="34">
        <v>749.81</v>
      </c>
      <c r="AX56" s="9">
        <v>273.16000000000003</v>
      </c>
    </row>
    <row r="57" spans="1:50" ht="12" customHeight="1" x14ac:dyDescent="0.35">
      <c r="A57" s="15" t="s">
        <v>35</v>
      </c>
      <c r="B57" s="1"/>
      <c r="C57" s="16"/>
      <c r="D57" s="26">
        <v>0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4">
        <v>0</v>
      </c>
      <c r="U57" s="34">
        <v>0</v>
      </c>
      <c r="V57" s="34">
        <v>0</v>
      </c>
      <c r="W57" s="34">
        <v>0</v>
      </c>
      <c r="X57" s="34">
        <v>0</v>
      </c>
      <c r="Y57" s="34">
        <v>0</v>
      </c>
      <c r="Z57" s="34">
        <v>0</v>
      </c>
      <c r="AA57" s="34">
        <v>0</v>
      </c>
      <c r="AB57" s="34">
        <v>0</v>
      </c>
      <c r="AC57" s="34">
        <v>0</v>
      </c>
      <c r="AD57" s="34">
        <v>0</v>
      </c>
      <c r="AE57" s="34">
        <v>0</v>
      </c>
      <c r="AF57" s="34">
        <v>0</v>
      </c>
      <c r="AG57" s="34">
        <v>0</v>
      </c>
      <c r="AH57" s="34">
        <v>0</v>
      </c>
      <c r="AI57" s="34">
        <v>0</v>
      </c>
      <c r="AJ57" s="34">
        <v>0</v>
      </c>
      <c r="AK57" s="34">
        <v>0</v>
      </c>
      <c r="AL57" s="34">
        <v>0</v>
      </c>
      <c r="AM57" s="34">
        <v>0</v>
      </c>
      <c r="AN57" s="34">
        <v>0</v>
      </c>
      <c r="AO57" s="34">
        <v>0</v>
      </c>
      <c r="AP57" s="34">
        <v>0</v>
      </c>
      <c r="AQ57" s="34">
        <v>0</v>
      </c>
      <c r="AR57" s="34">
        <v>0</v>
      </c>
      <c r="AS57" s="34">
        <v>0</v>
      </c>
      <c r="AT57" s="34">
        <v>0</v>
      </c>
      <c r="AU57" s="34">
        <v>0</v>
      </c>
      <c r="AV57" s="34">
        <v>0</v>
      </c>
      <c r="AW57" s="34">
        <v>0</v>
      </c>
      <c r="AX57" s="9">
        <v>0</v>
      </c>
    </row>
    <row r="58" spans="1:50" ht="12" customHeight="1" x14ac:dyDescent="0.35">
      <c r="A58" s="15" t="s">
        <v>36</v>
      </c>
      <c r="B58" s="1"/>
      <c r="C58" s="16"/>
      <c r="D58" s="26">
        <v>0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0</v>
      </c>
      <c r="M58" s="34">
        <v>0</v>
      </c>
      <c r="N58" s="34">
        <v>0</v>
      </c>
      <c r="O58" s="34">
        <v>0</v>
      </c>
      <c r="P58" s="34">
        <v>0</v>
      </c>
      <c r="Q58" s="34">
        <v>0</v>
      </c>
      <c r="R58" s="34">
        <v>0</v>
      </c>
      <c r="S58" s="34">
        <v>0</v>
      </c>
      <c r="T58" s="34">
        <v>0</v>
      </c>
      <c r="U58" s="34">
        <v>0</v>
      </c>
      <c r="V58" s="34">
        <v>0</v>
      </c>
      <c r="W58" s="34">
        <v>0</v>
      </c>
      <c r="X58" s="34">
        <v>0</v>
      </c>
      <c r="Y58" s="34">
        <v>0</v>
      </c>
      <c r="Z58" s="34">
        <v>0</v>
      </c>
      <c r="AA58" s="34">
        <v>0</v>
      </c>
      <c r="AB58" s="34">
        <v>0</v>
      </c>
      <c r="AC58" s="34">
        <v>0</v>
      </c>
      <c r="AD58" s="34">
        <v>0</v>
      </c>
      <c r="AE58" s="34">
        <v>0</v>
      </c>
      <c r="AF58" s="34">
        <v>0</v>
      </c>
      <c r="AG58" s="34">
        <v>0</v>
      </c>
      <c r="AH58" s="34">
        <v>0</v>
      </c>
      <c r="AI58" s="34">
        <v>0</v>
      </c>
      <c r="AJ58" s="34">
        <v>0</v>
      </c>
      <c r="AK58" s="34">
        <v>0</v>
      </c>
      <c r="AL58" s="34">
        <v>0</v>
      </c>
      <c r="AM58" s="34">
        <v>0</v>
      </c>
      <c r="AN58" s="34">
        <v>0</v>
      </c>
      <c r="AO58" s="34">
        <v>0</v>
      </c>
      <c r="AP58" s="34">
        <v>0</v>
      </c>
      <c r="AQ58" s="34">
        <v>0</v>
      </c>
      <c r="AR58" s="34">
        <v>0</v>
      </c>
      <c r="AS58" s="34">
        <v>0</v>
      </c>
      <c r="AT58" s="34">
        <v>0</v>
      </c>
      <c r="AU58" s="34">
        <v>0</v>
      </c>
      <c r="AV58" s="34">
        <v>0</v>
      </c>
      <c r="AW58" s="34">
        <v>0</v>
      </c>
      <c r="AX58" s="9">
        <v>0</v>
      </c>
    </row>
    <row r="59" spans="1:50" ht="12" customHeight="1" x14ac:dyDescent="0.35">
      <c r="A59" s="15" t="s">
        <v>37</v>
      </c>
      <c r="B59" s="1"/>
      <c r="C59" s="16"/>
      <c r="D59" s="26">
        <f t="shared" ref="D59:AX59" si="3">D41+D54</f>
        <v>4430.2500000000009</v>
      </c>
      <c r="E59" s="34">
        <f t="shared" si="3"/>
        <v>4805.4799999999996</v>
      </c>
      <c r="F59" s="34">
        <f t="shared" si="3"/>
        <v>4167.1399999999994</v>
      </c>
      <c r="G59" s="34">
        <f t="shared" si="3"/>
        <v>3903.5</v>
      </c>
      <c r="H59" s="34">
        <f t="shared" si="3"/>
        <v>3412.9200000000005</v>
      </c>
      <c r="I59" s="34">
        <f t="shared" si="3"/>
        <v>11489.1</v>
      </c>
      <c r="J59" s="34">
        <f t="shared" si="3"/>
        <v>3988.59</v>
      </c>
      <c r="K59" s="34">
        <f t="shared" si="3"/>
        <v>4184.3000000000011</v>
      </c>
      <c r="L59" s="34">
        <f t="shared" si="3"/>
        <v>4682.2800000000007</v>
      </c>
      <c r="M59" s="34">
        <f t="shared" si="3"/>
        <v>8703.58</v>
      </c>
      <c r="N59" s="34">
        <f t="shared" si="3"/>
        <v>3815.1900000000005</v>
      </c>
      <c r="O59" s="34">
        <f t="shared" si="3"/>
        <v>3548.11</v>
      </c>
      <c r="P59" s="34">
        <f t="shared" si="3"/>
        <v>3800.31</v>
      </c>
      <c r="Q59" s="34">
        <f t="shared" si="3"/>
        <v>5243.81</v>
      </c>
      <c r="R59" s="34">
        <f t="shared" si="3"/>
        <v>3552.34</v>
      </c>
      <c r="S59" s="34">
        <f t="shared" si="3"/>
        <v>3192.4700000000003</v>
      </c>
      <c r="T59" s="34">
        <f t="shared" si="3"/>
        <v>8319.67</v>
      </c>
      <c r="U59" s="34">
        <f t="shared" si="3"/>
        <v>959</v>
      </c>
      <c r="V59" s="34">
        <f t="shared" si="3"/>
        <v>3412.92</v>
      </c>
      <c r="W59" s="34">
        <f t="shared" si="3"/>
        <v>3743.5299999999997</v>
      </c>
      <c r="X59" s="34">
        <f t="shared" si="3"/>
        <v>3653.95</v>
      </c>
      <c r="Y59" s="34">
        <f t="shared" si="3"/>
        <v>922.25</v>
      </c>
      <c r="Z59" s="34">
        <f t="shared" si="3"/>
        <v>3412.86</v>
      </c>
      <c r="AA59" s="34">
        <f t="shared" si="3"/>
        <v>3294.8900000000003</v>
      </c>
      <c r="AB59" s="34">
        <f t="shared" si="3"/>
        <v>3922.8699999999994</v>
      </c>
      <c r="AC59" s="34">
        <f t="shared" si="3"/>
        <v>3529.88</v>
      </c>
      <c r="AD59" s="34">
        <f t="shared" si="3"/>
        <v>3103.33</v>
      </c>
      <c r="AE59" s="34">
        <f t="shared" si="3"/>
        <v>2973.34</v>
      </c>
      <c r="AF59" s="34">
        <f t="shared" si="3"/>
        <v>3433.7</v>
      </c>
      <c r="AG59" s="34">
        <f t="shared" si="3"/>
        <v>3831.76</v>
      </c>
      <c r="AH59" s="34">
        <f t="shared" si="3"/>
        <v>2747.55</v>
      </c>
      <c r="AI59" s="34">
        <f t="shared" si="3"/>
        <v>2844.8700000000003</v>
      </c>
      <c r="AJ59" s="34">
        <f t="shared" si="3"/>
        <v>3055.01</v>
      </c>
      <c r="AK59" s="34">
        <f t="shared" si="3"/>
        <v>2230.3000000000002</v>
      </c>
      <c r="AL59" s="34">
        <f t="shared" si="3"/>
        <v>3586.56</v>
      </c>
      <c r="AM59" s="34">
        <f t="shared" si="3"/>
        <v>4064.5799999999995</v>
      </c>
      <c r="AN59" s="34">
        <f t="shared" si="3"/>
        <v>2883.07</v>
      </c>
      <c r="AO59" s="34">
        <f t="shared" si="3"/>
        <v>2332.4500000000003</v>
      </c>
      <c r="AP59" s="34">
        <f t="shared" si="3"/>
        <v>3253.8200000000006</v>
      </c>
      <c r="AQ59" s="34">
        <f t="shared" si="3"/>
        <v>3116.0000000000005</v>
      </c>
      <c r="AR59" s="34">
        <f t="shared" si="3"/>
        <v>2332.4499999999998</v>
      </c>
      <c r="AS59" s="34">
        <f t="shared" si="3"/>
        <v>2332.42</v>
      </c>
      <c r="AT59" s="34">
        <f t="shared" si="3"/>
        <v>567.41999999999996</v>
      </c>
      <c r="AU59" s="34">
        <f t="shared" si="3"/>
        <v>2332.4499999999998</v>
      </c>
      <c r="AV59" s="34">
        <f t="shared" si="3"/>
        <v>2386.4</v>
      </c>
      <c r="AW59" s="34">
        <f t="shared" si="3"/>
        <v>2563.71</v>
      </c>
      <c r="AX59" s="9">
        <f t="shared" si="3"/>
        <v>933.96</v>
      </c>
    </row>
    <row r="60" spans="1:50" ht="12" customHeight="1" x14ac:dyDescent="0.35">
      <c r="A60" s="15" t="s">
        <v>38</v>
      </c>
      <c r="B60" s="1"/>
      <c r="C60" s="16"/>
      <c r="D60" s="26">
        <v>3762.95</v>
      </c>
      <c r="E60" s="34">
        <v>3630.01</v>
      </c>
      <c r="F60" s="34">
        <v>3144.53</v>
      </c>
      <c r="G60" s="34">
        <v>2953.83</v>
      </c>
      <c r="H60" s="34">
        <v>2579.77</v>
      </c>
      <c r="I60" s="34">
        <v>5101.2</v>
      </c>
      <c r="J60" s="34">
        <v>3015.17</v>
      </c>
      <c r="K60" s="34">
        <v>3163.08</v>
      </c>
      <c r="L60" s="34">
        <v>3543.15</v>
      </c>
      <c r="M60" s="34">
        <v>5101.2</v>
      </c>
      <c r="N60" s="34">
        <v>2884.12</v>
      </c>
      <c r="O60" s="34">
        <v>2682.09</v>
      </c>
      <c r="P60" s="34">
        <v>2872.96</v>
      </c>
      <c r="Q60" s="34">
        <v>3964.72</v>
      </c>
      <c r="R60" s="34">
        <v>2685.22</v>
      </c>
      <c r="S60" s="34">
        <v>2413.09</v>
      </c>
      <c r="T60" s="34">
        <v>5101.2</v>
      </c>
      <c r="U60" s="34">
        <v>2982.9</v>
      </c>
      <c r="V60" s="34">
        <v>2579.7600000000002</v>
      </c>
      <c r="W60" s="34">
        <v>2829.76</v>
      </c>
      <c r="X60" s="34">
        <v>2765</v>
      </c>
      <c r="Y60" s="34">
        <v>2433.9</v>
      </c>
      <c r="Z60" s="34">
        <v>2579.7600000000002</v>
      </c>
      <c r="AA60" s="34">
        <v>2493.3000000000002</v>
      </c>
      <c r="AB60" s="34">
        <v>2959.28</v>
      </c>
      <c r="AC60" s="34">
        <v>2668.25</v>
      </c>
      <c r="AD60" s="34">
        <v>2348.33</v>
      </c>
      <c r="AE60" s="34">
        <v>2247.37</v>
      </c>
      <c r="AF60" s="34">
        <v>2598.33</v>
      </c>
      <c r="AG60" s="34">
        <v>2899.54</v>
      </c>
      <c r="AH60" s="34">
        <v>2079.13</v>
      </c>
      <c r="AI60" s="34">
        <v>2152.7600000000002</v>
      </c>
      <c r="AJ60" s="34">
        <v>2309.7600000000002</v>
      </c>
      <c r="AK60" s="34">
        <v>1941.85</v>
      </c>
      <c r="AL60" s="34">
        <v>2714</v>
      </c>
      <c r="AM60" s="34">
        <v>3075.73</v>
      </c>
      <c r="AN60" s="34">
        <v>2181.67</v>
      </c>
      <c r="AO60" s="34">
        <v>1765</v>
      </c>
      <c r="AP60" s="34">
        <v>2462.1999999999998</v>
      </c>
      <c r="AQ60" s="34">
        <v>2357.9299999999998</v>
      </c>
      <c r="AR60" s="34">
        <v>1765</v>
      </c>
      <c r="AS60" s="34">
        <v>1764.99</v>
      </c>
      <c r="AT60" s="34">
        <v>1764.9</v>
      </c>
      <c r="AU60" s="34">
        <v>1765</v>
      </c>
      <c r="AV60" s="34">
        <v>1805.83</v>
      </c>
      <c r="AW60" s="34">
        <v>1940</v>
      </c>
      <c r="AX60" s="9">
        <v>706.74</v>
      </c>
    </row>
    <row r="61" spans="1:50" ht="12" customHeight="1" x14ac:dyDescent="0.35">
      <c r="A61" s="15" t="s">
        <v>39</v>
      </c>
      <c r="B61" s="1"/>
      <c r="C61" s="16"/>
      <c r="D61" s="26">
        <v>3762.95</v>
      </c>
      <c r="E61" s="34">
        <v>3630.01</v>
      </c>
      <c r="F61" s="34">
        <v>3144.53</v>
      </c>
      <c r="G61" s="34">
        <v>2953.83</v>
      </c>
      <c r="H61" s="34">
        <v>2579.77</v>
      </c>
      <c r="I61" s="34">
        <v>5101.2</v>
      </c>
      <c r="J61" s="34">
        <v>3015.17</v>
      </c>
      <c r="K61" s="34">
        <v>3163.08</v>
      </c>
      <c r="L61" s="34">
        <v>3543.15</v>
      </c>
      <c r="M61" s="34">
        <v>5101.2</v>
      </c>
      <c r="N61" s="34">
        <v>2884.12</v>
      </c>
      <c r="O61" s="34">
        <v>2682.09</v>
      </c>
      <c r="P61" s="34">
        <v>2872.96</v>
      </c>
      <c r="Q61" s="34">
        <v>3964.72</v>
      </c>
      <c r="R61" s="34">
        <v>2685.22</v>
      </c>
      <c r="S61" s="34">
        <v>2413.09</v>
      </c>
      <c r="T61" s="34">
        <v>5101.2</v>
      </c>
      <c r="U61" s="34">
        <v>2982.9</v>
      </c>
      <c r="V61" s="34">
        <v>2579.7600000000002</v>
      </c>
      <c r="W61" s="34">
        <v>2829.76</v>
      </c>
      <c r="X61" s="34">
        <v>2765</v>
      </c>
      <c r="Y61" s="34">
        <v>2433.9</v>
      </c>
      <c r="Z61" s="34">
        <v>2579.7600000000002</v>
      </c>
      <c r="AA61" s="34">
        <v>2493.3000000000002</v>
      </c>
      <c r="AB61" s="34">
        <v>2959.28</v>
      </c>
      <c r="AC61" s="34">
        <v>2668.25</v>
      </c>
      <c r="AD61" s="34">
        <v>2348.33</v>
      </c>
      <c r="AE61" s="34">
        <v>2247.37</v>
      </c>
      <c r="AF61" s="34">
        <v>2598.33</v>
      </c>
      <c r="AG61" s="34">
        <v>2899.54</v>
      </c>
      <c r="AH61" s="34">
        <v>2079.13</v>
      </c>
      <c r="AI61" s="34">
        <v>2152.7600000000002</v>
      </c>
      <c r="AJ61" s="34">
        <v>2309.7600000000002</v>
      </c>
      <c r="AK61" s="34">
        <v>1941.85</v>
      </c>
      <c r="AL61" s="34">
        <v>2714</v>
      </c>
      <c r="AM61" s="34">
        <v>3075.73</v>
      </c>
      <c r="AN61" s="34">
        <v>2181.67</v>
      </c>
      <c r="AO61" s="34">
        <v>1765</v>
      </c>
      <c r="AP61" s="34">
        <v>2462.1999999999998</v>
      </c>
      <c r="AQ61" s="34">
        <v>2357.9299999999998</v>
      </c>
      <c r="AR61" s="34">
        <v>1765</v>
      </c>
      <c r="AS61" s="34">
        <v>1764.99</v>
      </c>
      <c r="AT61" s="34">
        <v>1764.9</v>
      </c>
      <c r="AU61" s="34">
        <v>1765</v>
      </c>
      <c r="AV61" s="34">
        <v>1805.83</v>
      </c>
      <c r="AW61" s="34">
        <v>1940</v>
      </c>
      <c r="AX61" s="9">
        <v>706.74</v>
      </c>
    </row>
    <row r="62" spans="1:50" ht="12" customHeight="1" x14ac:dyDescent="0.35">
      <c r="A62" s="15" t="s">
        <v>40</v>
      </c>
      <c r="B62" s="1"/>
      <c r="C62" s="16"/>
      <c r="D62" s="26">
        <v>2951.01</v>
      </c>
      <c r="E62" s="34">
        <v>3333.34</v>
      </c>
      <c r="F62" s="34">
        <v>2373.0300000000002</v>
      </c>
      <c r="G62" s="34">
        <v>2848.33</v>
      </c>
      <c r="H62" s="34">
        <v>2164.42</v>
      </c>
      <c r="I62" s="34">
        <v>9287.65</v>
      </c>
      <c r="J62" s="34">
        <v>2765.01</v>
      </c>
      <c r="K62" s="34">
        <v>2878.32</v>
      </c>
      <c r="L62" s="34">
        <v>3348.34</v>
      </c>
      <c r="M62" s="34">
        <v>6681.66</v>
      </c>
      <c r="N62" s="34">
        <v>2515.0100000000002</v>
      </c>
      <c r="O62" s="34">
        <v>2348.33</v>
      </c>
      <c r="P62" s="34">
        <v>2765</v>
      </c>
      <c r="Q62" s="34">
        <v>3681.66</v>
      </c>
      <c r="R62" s="34">
        <v>2500</v>
      </c>
      <c r="S62" s="34">
        <v>2143.58</v>
      </c>
      <c r="T62" s="34">
        <v>6230.23</v>
      </c>
      <c r="U62" s="34">
        <v>0</v>
      </c>
      <c r="V62" s="34">
        <v>2309.54</v>
      </c>
      <c r="W62" s="34">
        <v>2191.33</v>
      </c>
      <c r="X62" s="34">
        <v>2737.78</v>
      </c>
      <c r="Y62" s="34">
        <v>1901.35</v>
      </c>
      <c r="Z62" s="34">
        <v>1708.28</v>
      </c>
      <c r="AA62" s="34">
        <v>2348.33</v>
      </c>
      <c r="AB62" s="34">
        <v>2765</v>
      </c>
      <c r="AC62" s="34">
        <v>2515</v>
      </c>
      <c r="AD62" s="34">
        <v>1651.72</v>
      </c>
      <c r="AE62" s="34">
        <v>2152.5100000000002</v>
      </c>
      <c r="AF62" s="34">
        <v>2395.75</v>
      </c>
      <c r="AG62" s="34">
        <v>2802.5</v>
      </c>
      <c r="AH62" s="34">
        <v>2015</v>
      </c>
      <c r="AI62" s="34">
        <v>2015</v>
      </c>
      <c r="AJ62" s="34">
        <v>2015</v>
      </c>
      <c r="AK62" s="34">
        <v>1482.13</v>
      </c>
      <c r="AL62" s="34">
        <v>2479.71</v>
      </c>
      <c r="AM62" s="34">
        <v>2848.33</v>
      </c>
      <c r="AN62" s="34">
        <v>2136.62</v>
      </c>
      <c r="AO62" s="34">
        <v>1650.47</v>
      </c>
      <c r="AP62" s="34">
        <v>2200.3000000000002</v>
      </c>
      <c r="AQ62" s="34">
        <v>2348.33</v>
      </c>
      <c r="AR62" s="34">
        <v>1765</v>
      </c>
      <c r="AS62" s="34">
        <v>1764.99</v>
      </c>
      <c r="AT62" s="34">
        <v>0</v>
      </c>
      <c r="AU62" s="34">
        <v>1755</v>
      </c>
      <c r="AV62" s="34">
        <v>1773.13</v>
      </c>
      <c r="AW62" s="34">
        <v>1940</v>
      </c>
      <c r="AX62" s="9">
        <v>706.74</v>
      </c>
    </row>
    <row r="63" spans="1:50" ht="12" customHeight="1" x14ac:dyDescent="0.35">
      <c r="A63" s="15" t="s">
        <v>41</v>
      </c>
      <c r="B63" s="1"/>
      <c r="C63" s="16"/>
      <c r="D63" s="26">
        <v>23.09</v>
      </c>
      <c r="E63" s="34">
        <v>46.18</v>
      </c>
      <c r="F63" s="34">
        <v>69.27</v>
      </c>
      <c r="G63" s="34">
        <v>0</v>
      </c>
      <c r="H63" s="34">
        <v>23.09</v>
      </c>
      <c r="I63" s="34">
        <v>92.36</v>
      </c>
      <c r="J63" s="34">
        <v>23.09</v>
      </c>
      <c r="K63" s="34">
        <v>23.09</v>
      </c>
      <c r="L63" s="34">
        <v>0</v>
      </c>
      <c r="M63" s="34">
        <v>46.18</v>
      </c>
      <c r="N63" s="34">
        <v>23.09</v>
      </c>
      <c r="O63" s="34">
        <v>23.09</v>
      </c>
      <c r="P63" s="34">
        <v>23.09</v>
      </c>
      <c r="Q63" s="34">
        <v>23.09</v>
      </c>
      <c r="R63" s="34">
        <v>23.09</v>
      </c>
      <c r="S63" s="34">
        <v>23.09</v>
      </c>
      <c r="T63" s="34">
        <v>69.27</v>
      </c>
      <c r="U63" s="34">
        <v>0</v>
      </c>
      <c r="V63" s="34">
        <v>23.09</v>
      </c>
      <c r="W63" s="34">
        <v>23.09</v>
      </c>
      <c r="X63" s="34">
        <v>0</v>
      </c>
      <c r="Y63" s="34">
        <v>23.09</v>
      </c>
      <c r="Z63" s="34">
        <v>23.09</v>
      </c>
      <c r="AA63" s="34">
        <v>0</v>
      </c>
      <c r="AB63" s="34">
        <v>69.27</v>
      </c>
      <c r="AC63" s="34">
        <v>23.09</v>
      </c>
      <c r="AD63" s="34">
        <v>0</v>
      </c>
      <c r="AE63" s="34">
        <v>23.09</v>
      </c>
      <c r="AF63" s="34">
        <v>0</v>
      </c>
      <c r="AG63" s="34">
        <v>0</v>
      </c>
      <c r="AH63" s="34">
        <v>0</v>
      </c>
      <c r="AI63" s="34">
        <v>0</v>
      </c>
      <c r="AJ63" s="34">
        <v>23.09</v>
      </c>
      <c r="AK63" s="34">
        <v>0</v>
      </c>
      <c r="AL63" s="34">
        <v>0</v>
      </c>
      <c r="AM63" s="34">
        <v>0</v>
      </c>
      <c r="AN63" s="34">
        <v>0</v>
      </c>
      <c r="AO63" s="34">
        <v>0</v>
      </c>
      <c r="AP63" s="34">
        <v>0</v>
      </c>
      <c r="AQ63" s="34">
        <v>0</v>
      </c>
      <c r="AR63" s="34">
        <v>0</v>
      </c>
      <c r="AS63" s="34">
        <v>0</v>
      </c>
      <c r="AT63" s="34">
        <v>0</v>
      </c>
      <c r="AU63" s="34">
        <v>0</v>
      </c>
      <c r="AV63" s="34">
        <v>0</v>
      </c>
      <c r="AW63" s="34">
        <v>0</v>
      </c>
      <c r="AX63" s="9">
        <v>0</v>
      </c>
    </row>
    <row r="64" spans="1:50" ht="12" customHeight="1" x14ac:dyDescent="0.35">
      <c r="A64" s="15" t="s">
        <v>42</v>
      </c>
      <c r="B64" s="1"/>
      <c r="C64" s="16"/>
      <c r="D64" s="26">
        <v>0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  <c r="N64" s="34">
        <v>0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4">
        <v>0</v>
      </c>
      <c r="U64" s="34">
        <v>0</v>
      </c>
      <c r="V64" s="34">
        <v>0</v>
      </c>
      <c r="W64" s="34">
        <v>0</v>
      </c>
      <c r="X64" s="34">
        <v>0</v>
      </c>
      <c r="Y64" s="34">
        <v>0</v>
      </c>
      <c r="Z64" s="34">
        <v>0</v>
      </c>
      <c r="AA64" s="34">
        <v>0</v>
      </c>
      <c r="AB64" s="34">
        <v>0</v>
      </c>
      <c r="AC64" s="34">
        <v>0</v>
      </c>
      <c r="AD64" s="34">
        <v>0</v>
      </c>
      <c r="AE64" s="34">
        <v>0</v>
      </c>
      <c r="AF64" s="34">
        <v>0</v>
      </c>
      <c r="AG64" s="34">
        <v>0</v>
      </c>
      <c r="AH64" s="34">
        <v>0</v>
      </c>
      <c r="AI64" s="34">
        <v>0</v>
      </c>
      <c r="AJ64" s="34">
        <v>0</v>
      </c>
      <c r="AK64" s="34">
        <v>0</v>
      </c>
      <c r="AL64" s="34">
        <v>0</v>
      </c>
      <c r="AM64" s="34">
        <v>0</v>
      </c>
      <c r="AN64" s="34">
        <v>0</v>
      </c>
      <c r="AO64" s="34">
        <v>0</v>
      </c>
      <c r="AP64" s="34">
        <v>0</v>
      </c>
      <c r="AQ64" s="34">
        <v>0</v>
      </c>
      <c r="AR64" s="34">
        <v>0</v>
      </c>
      <c r="AS64" s="34">
        <v>0</v>
      </c>
      <c r="AT64" s="34">
        <v>0</v>
      </c>
      <c r="AU64" s="34">
        <v>0</v>
      </c>
      <c r="AV64" s="34">
        <v>0</v>
      </c>
      <c r="AW64" s="34">
        <v>0</v>
      </c>
      <c r="AX64" s="9">
        <v>0</v>
      </c>
    </row>
    <row r="65" spans="1:50" ht="12" customHeight="1" x14ac:dyDescent="0.35">
      <c r="A65" s="15" t="s">
        <v>43</v>
      </c>
      <c r="B65" s="1"/>
      <c r="C65" s="16"/>
      <c r="D65" s="25">
        <v>0</v>
      </c>
      <c r="E65" s="33">
        <v>0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3">
        <v>0</v>
      </c>
      <c r="O65" s="33">
        <v>0</v>
      </c>
      <c r="P65" s="33">
        <v>0</v>
      </c>
      <c r="Q65" s="33">
        <v>0</v>
      </c>
      <c r="R65" s="33">
        <v>0</v>
      </c>
      <c r="S65" s="33">
        <v>0</v>
      </c>
      <c r="T65" s="33">
        <v>0</v>
      </c>
      <c r="U65" s="33">
        <v>0</v>
      </c>
      <c r="V65" s="33">
        <v>0</v>
      </c>
      <c r="W65" s="33">
        <v>0</v>
      </c>
      <c r="X65" s="33">
        <v>0</v>
      </c>
      <c r="Y65" s="33">
        <v>0</v>
      </c>
      <c r="Z65" s="33">
        <v>0</v>
      </c>
      <c r="AA65" s="33">
        <v>0</v>
      </c>
      <c r="AB65" s="33">
        <v>0</v>
      </c>
      <c r="AC65" s="33">
        <v>0</v>
      </c>
      <c r="AD65" s="33">
        <v>0</v>
      </c>
      <c r="AE65" s="33">
        <v>0</v>
      </c>
      <c r="AF65" s="33">
        <v>0</v>
      </c>
      <c r="AG65" s="33">
        <v>0</v>
      </c>
      <c r="AH65" s="33">
        <v>0</v>
      </c>
      <c r="AI65" s="33">
        <v>0</v>
      </c>
      <c r="AJ65" s="33">
        <v>0</v>
      </c>
      <c r="AK65" s="33">
        <v>0</v>
      </c>
      <c r="AL65" s="33">
        <v>0</v>
      </c>
      <c r="AM65" s="33">
        <v>0</v>
      </c>
      <c r="AN65" s="33">
        <v>0</v>
      </c>
      <c r="AO65" s="33">
        <v>0</v>
      </c>
      <c r="AP65" s="33">
        <v>0</v>
      </c>
      <c r="AQ65" s="33">
        <v>0</v>
      </c>
      <c r="AR65" s="33">
        <v>0</v>
      </c>
      <c r="AS65" s="33">
        <v>0</v>
      </c>
      <c r="AT65" s="33">
        <v>0</v>
      </c>
      <c r="AU65" s="33">
        <v>0</v>
      </c>
      <c r="AV65" s="33">
        <v>0</v>
      </c>
      <c r="AW65" s="33">
        <v>0</v>
      </c>
      <c r="AX65" s="8">
        <v>0</v>
      </c>
    </row>
    <row r="66" spans="1:50" ht="12" customHeight="1" x14ac:dyDescent="0.35">
      <c r="A66" s="15" t="s">
        <v>44</v>
      </c>
      <c r="B66" s="1"/>
      <c r="C66" s="16"/>
      <c r="D66" s="26">
        <v>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4">
        <v>0</v>
      </c>
      <c r="U66" s="34">
        <v>0</v>
      </c>
      <c r="V66" s="34">
        <v>0</v>
      </c>
      <c r="W66" s="34">
        <v>0</v>
      </c>
      <c r="X66" s="34">
        <v>0</v>
      </c>
      <c r="Y66" s="34">
        <v>0</v>
      </c>
      <c r="Z66" s="34">
        <v>0</v>
      </c>
      <c r="AA66" s="34">
        <v>0</v>
      </c>
      <c r="AB66" s="34">
        <v>0</v>
      </c>
      <c r="AC66" s="34">
        <v>0</v>
      </c>
      <c r="AD66" s="34">
        <v>0</v>
      </c>
      <c r="AE66" s="34">
        <v>0</v>
      </c>
      <c r="AF66" s="34">
        <v>0</v>
      </c>
      <c r="AG66" s="34">
        <v>0</v>
      </c>
      <c r="AH66" s="34">
        <v>0</v>
      </c>
      <c r="AI66" s="34">
        <v>0</v>
      </c>
      <c r="AJ66" s="34">
        <v>0</v>
      </c>
      <c r="AK66" s="34">
        <v>0</v>
      </c>
      <c r="AL66" s="34">
        <v>0</v>
      </c>
      <c r="AM66" s="34">
        <v>0</v>
      </c>
      <c r="AN66" s="34">
        <v>0</v>
      </c>
      <c r="AO66" s="34">
        <v>0</v>
      </c>
      <c r="AP66" s="34">
        <v>0</v>
      </c>
      <c r="AQ66" s="34">
        <v>0</v>
      </c>
      <c r="AR66" s="34">
        <v>0</v>
      </c>
      <c r="AS66" s="34">
        <v>0</v>
      </c>
      <c r="AT66" s="34">
        <v>0</v>
      </c>
      <c r="AU66" s="34">
        <v>0</v>
      </c>
      <c r="AV66" s="34">
        <v>0</v>
      </c>
      <c r="AW66" s="34">
        <v>0</v>
      </c>
      <c r="AX66" s="9">
        <v>0</v>
      </c>
    </row>
    <row r="67" spans="1:50" ht="12" customHeight="1" x14ac:dyDescent="0.35">
      <c r="A67" s="15" t="s">
        <v>45</v>
      </c>
      <c r="B67" s="1"/>
      <c r="C67" s="16"/>
      <c r="D67" s="26">
        <v>128</v>
      </c>
      <c r="E67" s="34">
        <v>160</v>
      </c>
      <c r="F67" s="34">
        <v>160</v>
      </c>
      <c r="G67" s="34">
        <v>160</v>
      </c>
      <c r="H67" s="34">
        <v>160</v>
      </c>
      <c r="I67" s="34">
        <v>160</v>
      </c>
      <c r="J67" s="34">
        <v>160</v>
      </c>
      <c r="K67" s="34">
        <v>160</v>
      </c>
      <c r="L67" s="34">
        <v>160</v>
      </c>
      <c r="M67" s="34">
        <v>160</v>
      </c>
      <c r="N67" s="34">
        <v>160</v>
      </c>
      <c r="O67" s="34">
        <v>160</v>
      </c>
      <c r="P67" s="34">
        <v>160</v>
      </c>
      <c r="Q67" s="34">
        <v>160</v>
      </c>
      <c r="R67" s="34">
        <v>160</v>
      </c>
      <c r="S67" s="34">
        <v>160</v>
      </c>
      <c r="T67" s="34">
        <v>160</v>
      </c>
      <c r="U67" s="34">
        <v>0</v>
      </c>
      <c r="V67" s="34">
        <v>160</v>
      </c>
      <c r="W67" s="34">
        <v>160</v>
      </c>
      <c r="X67" s="34">
        <v>160</v>
      </c>
      <c r="Y67" s="34">
        <v>0</v>
      </c>
      <c r="Z67" s="34">
        <v>160</v>
      </c>
      <c r="AA67" s="34">
        <v>160</v>
      </c>
      <c r="AB67" s="34">
        <v>160</v>
      </c>
      <c r="AC67" s="34">
        <v>160</v>
      </c>
      <c r="AD67" s="34">
        <v>160</v>
      </c>
      <c r="AE67" s="34">
        <v>160</v>
      </c>
      <c r="AF67" s="34">
        <v>160</v>
      </c>
      <c r="AG67" s="34">
        <v>160</v>
      </c>
      <c r="AH67" s="34">
        <v>160</v>
      </c>
      <c r="AI67" s="34">
        <v>160</v>
      </c>
      <c r="AJ67" s="34">
        <v>160</v>
      </c>
      <c r="AK67" s="34">
        <v>120</v>
      </c>
      <c r="AL67" s="34">
        <v>160</v>
      </c>
      <c r="AM67" s="34">
        <v>160</v>
      </c>
      <c r="AN67" s="34">
        <v>160</v>
      </c>
      <c r="AO67" s="34">
        <v>160</v>
      </c>
      <c r="AP67" s="34">
        <v>160</v>
      </c>
      <c r="AQ67" s="34">
        <v>160</v>
      </c>
      <c r="AR67" s="34">
        <v>160</v>
      </c>
      <c r="AS67" s="34">
        <v>160</v>
      </c>
      <c r="AT67" s="34">
        <v>0</v>
      </c>
      <c r="AU67" s="34">
        <v>160</v>
      </c>
      <c r="AV67" s="34">
        <v>160</v>
      </c>
      <c r="AW67" s="34">
        <v>160</v>
      </c>
      <c r="AX67" s="9">
        <v>80</v>
      </c>
    </row>
    <row r="68" spans="1:50" ht="12" customHeight="1" x14ac:dyDescent="0.35">
      <c r="A68" s="15" t="s">
        <v>46</v>
      </c>
      <c r="B68" s="1"/>
      <c r="C68" s="16"/>
      <c r="D68" s="26">
        <v>0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4">
        <v>0</v>
      </c>
      <c r="U68" s="34">
        <v>0</v>
      </c>
      <c r="V68" s="34">
        <v>0</v>
      </c>
      <c r="W68" s="34">
        <v>0</v>
      </c>
      <c r="X68" s="34">
        <v>0</v>
      </c>
      <c r="Y68" s="34">
        <v>0</v>
      </c>
      <c r="Z68" s="34">
        <v>0</v>
      </c>
      <c r="AA68" s="34">
        <v>0</v>
      </c>
      <c r="AB68" s="34">
        <v>0</v>
      </c>
      <c r="AC68" s="34">
        <v>0</v>
      </c>
      <c r="AD68" s="34">
        <v>0</v>
      </c>
      <c r="AE68" s="34">
        <v>0</v>
      </c>
      <c r="AF68" s="34">
        <v>0</v>
      </c>
      <c r="AG68" s="34">
        <v>0</v>
      </c>
      <c r="AH68" s="34">
        <v>0</v>
      </c>
      <c r="AI68" s="34">
        <v>0</v>
      </c>
      <c r="AJ68" s="34">
        <v>0</v>
      </c>
      <c r="AK68" s="34">
        <v>0</v>
      </c>
      <c r="AL68" s="34">
        <v>0</v>
      </c>
      <c r="AM68" s="34">
        <v>0</v>
      </c>
      <c r="AN68" s="34">
        <v>0</v>
      </c>
      <c r="AO68" s="34">
        <v>0</v>
      </c>
      <c r="AP68" s="34">
        <v>0</v>
      </c>
      <c r="AQ68" s="34">
        <v>0</v>
      </c>
      <c r="AR68" s="34">
        <v>0</v>
      </c>
      <c r="AS68" s="34">
        <v>0</v>
      </c>
      <c r="AT68" s="34">
        <v>0</v>
      </c>
      <c r="AU68" s="34">
        <v>0</v>
      </c>
      <c r="AV68" s="34">
        <v>0</v>
      </c>
      <c r="AW68" s="34">
        <v>0</v>
      </c>
      <c r="AX68" s="9">
        <v>0</v>
      </c>
    </row>
    <row r="69" spans="1:50" ht="12" customHeight="1" x14ac:dyDescent="0.35">
      <c r="A69" s="15" t="s">
        <v>47</v>
      </c>
      <c r="B69" s="1"/>
      <c r="C69" s="16"/>
      <c r="D69" s="26">
        <v>0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  <c r="N69" s="34">
        <v>0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4">
        <v>0</v>
      </c>
      <c r="U69" s="34">
        <v>0</v>
      </c>
      <c r="V69" s="34">
        <v>0</v>
      </c>
      <c r="W69" s="34">
        <v>0</v>
      </c>
      <c r="X69" s="34">
        <v>0</v>
      </c>
      <c r="Y69" s="34">
        <v>0</v>
      </c>
      <c r="Z69" s="34">
        <v>0</v>
      </c>
      <c r="AA69" s="34">
        <v>0</v>
      </c>
      <c r="AB69" s="34">
        <v>0</v>
      </c>
      <c r="AC69" s="34">
        <v>0</v>
      </c>
      <c r="AD69" s="34">
        <v>0</v>
      </c>
      <c r="AE69" s="34">
        <v>0</v>
      </c>
      <c r="AF69" s="34">
        <v>0</v>
      </c>
      <c r="AG69" s="34">
        <v>0</v>
      </c>
      <c r="AH69" s="34">
        <v>0</v>
      </c>
      <c r="AI69" s="34">
        <v>0</v>
      </c>
      <c r="AJ69" s="34">
        <v>0</v>
      </c>
      <c r="AK69" s="34">
        <v>0</v>
      </c>
      <c r="AL69" s="34">
        <v>0</v>
      </c>
      <c r="AM69" s="34">
        <v>0</v>
      </c>
      <c r="AN69" s="34">
        <v>0</v>
      </c>
      <c r="AO69" s="34">
        <v>0</v>
      </c>
      <c r="AP69" s="34">
        <v>0</v>
      </c>
      <c r="AQ69" s="34">
        <v>0</v>
      </c>
      <c r="AR69" s="34">
        <v>0</v>
      </c>
      <c r="AS69" s="34">
        <v>0</v>
      </c>
      <c r="AT69" s="34">
        <v>0</v>
      </c>
      <c r="AU69" s="34">
        <v>0</v>
      </c>
      <c r="AV69" s="34">
        <v>0</v>
      </c>
      <c r="AW69" s="34">
        <v>0</v>
      </c>
      <c r="AX69" s="9">
        <v>0</v>
      </c>
    </row>
    <row r="70" spans="1:50" ht="12" customHeight="1" thickBot="1" x14ac:dyDescent="0.4">
      <c r="A70" s="17" t="s">
        <v>48</v>
      </c>
      <c r="B70" s="18"/>
      <c r="C70" s="19"/>
      <c r="D70" s="27">
        <v>30</v>
      </c>
      <c r="E70" s="35">
        <v>30</v>
      </c>
      <c r="F70" s="35">
        <v>30</v>
      </c>
      <c r="G70" s="35">
        <v>30</v>
      </c>
      <c r="H70" s="35">
        <v>30</v>
      </c>
      <c r="I70" s="35">
        <v>30</v>
      </c>
      <c r="J70" s="35">
        <v>30</v>
      </c>
      <c r="K70" s="35">
        <v>30</v>
      </c>
      <c r="L70" s="35">
        <v>30</v>
      </c>
      <c r="M70" s="35">
        <v>30</v>
      </c>
      <c r="N70" s="35">
        <v>30</v>
      </c>
      <c r="O70" s="35">
        <v>30</v>
      </c>
      <c r="P70" s="35">
        <v>30</v>
      </c>
      <c r="Q70" s="35">
        <v>30</v>
      </c>
      <c r="R70" s="35">
        <v>30</v>
      </c>
      <c r="S70" s="35">
        <v>30</v>
      </c>
      <c r="T70" s="35">
        <v>30</v>
      </c>
      <c r="U70" s="35">
        <v>30</v>
      </c>
      <c r="V70" s="35">
        <v>30</v>
      </c>
      <c r="W70" s="35">
        <v>30</v>
      </c>
      <c r="X70" s="35">
        <v>30</v>
      </c>
      <c r="Y70" s="35">
        <v>30</v>
      </c>
      <c r="Z70" s="35">
        <v>30</v>
      </c>
      <c r="AA70" s="35">
        <v>30</v>
      </c>
      <c r="AB70" s="35">
        <v>30</v>
      </c>
      <c r="AC70" s="35">
        <v>30</v>
      </c>
      <c r="AD70" s="35">
        <v>30</v>
      </c>
      <c r="AE70" s="35">
        <v>30</v>
      </c>
      <c r="AF70" s="35">
        <v>30</v>
      </c>
      <c r="AG70" s="35">
        <v>30</v>
      </c>
      <c r="AH70" s="35">
        <v>30</v>
      </c>
      <c r="AI70" s="35">
        <v>30</v>
      </c>
      <c r="AJ70" s="35">
        <v>30</v>
      </c>
      <c r="AK70" s="35">
        <v>30</v>
      </c>
      <c r="AL70" s="35">
        <v>30</v>
      </c>
      <c r="AM70" s="35">
        <v>30</v>
      </c>
      <c r="AN70" s="35">
        <v>30</v>
      </c>
      <c r="AO70" s="35">
        <v>30</v>
      </c>
      <c r="AP70" s="35">
        <v>30</v>
      </c>
      <c r="AQ70" s="35">
        <v>30</v>
      </c>
      <c r="AR70" s="35">
        <v>30</v>
      </c>
      <c r="AS70" s="35">
        <v>30</v>
      </c>
      <c r="AT70" s="35">
        <v>30</v>
      </c>
      <c r="AU70" s="35">
        <v>30</v>
      </c>
      <c r="AV70" s="35">
        <v>30</v>
      </c>
      <c r="AW70" s="35">
        <v>30</v>
      </c>
      <c r="AX70" s="10">
        <v>13</v>
      </c>
    </row>
  </sheetData>
  <pageMargins left="0" right="0" top="0" bottom="0.39370078740157499" header="0" footer="0"/>
  <pageSetup paperSize="9" fitToWidth="0" orientation="landscape"/>
  <headerFooter>
    <oddHeader>&amp;CIMPUTACIÓN DE COSTES&amp;RFecha listado: 29/01/26</oddHeader>
    <oddFooter>&amp;RPág.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B4544-8CC0-422F-9C60-5AADBD961D9B}">
  <sheetPr>
    <pageSetUpPr fitToPage="1"/>
  </sheetPr>
  <dimension ref="A1:D71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baseColWidth="10" defaultColWidth="8.7265625" defaultRowHeight="12" customHeight="1" x14ac:dyDescent="0.35"/>
  <cols>
    <col min="1" max="1" width="1.7265625" customWidth="1"/>
    <col min="2" max="2" width="4.7265625" customWidth="1"/>
    <col min="3" max="3" width="56.7265625" customWidth="1"/>
    <col min="4" max="4" width="24.7265625" customWidth="1"/>
  </cols>
  <sheetData>
    <row r="1" spans="1:4" ht="12" customHeight="1" x14ac:dyDescent="0.35">
      <c r="A1" s="1"/>
      <c r="B1" s="2"/>
      <c r="C1" s="2"/>
    </row>
    <row r="2" spans="1:4" ht="12" customHeight="1" x14ac:dyDescent="0.35">
      <c r="A2" s="1" t="s">
        <v>0</v>
      </c>
      <c r="B2" s="2"/>
      <c r="C2" s="2"/>
      <c r="D2" t="s">
        <v>87</v>
      </c>
    </row>
    <row r="3" spans="1:4" ht="12" customHeight="1" thickBot="1" x14ac:dyDescent="0.4">
      <c r="A3" s="1" t="s">
        <v>1</v>
      </c>
      <c r="B3" s="2"/>
      <c r="C3" s="2"/>
    </row>
    <row r="4" spans="1:4" ht="13" customHeight="1" thickTop="1" thickBot="1" x14ac:dyDescent="0.4">
      <c r="A4" s="1" t="s">
        <v>2</v>
      </c>
      <c r="B4" s="2"/>
      <c r="C4" s="6"/>
      <c r="D4" s="43" t="s">
        <v>49</v>
      </c>
    </row>
    <row r="5" spans="1:4" ht="12" customHeight="1" thickTop="1" x14ac:dyDescent="0.35">
      <c r="A5" s="1" t="s">
        <v>3</v>
      </c>
      <c r="B5" s="2"/>
      <c r="C5" s="6"/>
      <c r="D5" s="36" t="s">
        <v>275</v>
      </c>
    </row>
    <row r="6" spans="1:4" ht="12" customHeight="1" x14ac:dyDescent="0.35">
      <c r="A6" s="1"/>
      <c r="B6" s="2"/>
      <c r="C6" s="6"/>
      <c r="D6" s="37"/>
    </row>
    <row r="7" spans="1:4" ht="12" customHeight="1" thickBot="1" x14ac:dyDescent="0.4">
      <c r="A7" s="18"/>
      <c r="B7" s="4"/>
      <c r="C7" s="5"/>
      <c r="D7" s="38"/>
    </row>
    <row r="8" spans="1:4" ht="12" customHeight="1" thickTop="1" x14ac:dyDescent="0.35">
      <c r="A8" s="12"/>
      <c r="B8" s="13"/>
      <c r="C8" s="14"/>
      <c r="D8" s="39"/>
    </row>
    <row r="9" spans="1:4" ht="12" customHeight="1" x14ac:dyDescent="0.35">
      <c r="A9" s="15" t="s">
        <v>15</v>
      </c>
      <c r="B9" s="1"/>
      <c r="C9" s="16"/>
      <c r="D9" s="40"/>
    </row>
    <row r="10" spans="1:4" ht="12" customHeight="1" x14ac:dyDescent="0.35">
      <c r="A10" s="15"/>
      <c r="B10" s="1"/>
      <c r="C10" s="16"/>
      <c r="D10" s="40"/>
    </row>
    <row r="11" spans="1:4" ht="12" customHeight="1" x14ac:dyDescent="0.35">
      <c r="A11" s="15"/>
      <c r="B11" s="1">
        <v>1</v>
      </c>
      <c r="C11" s="16" t="s">
        <v>16</v>
      </c>
      <c r="D11" s="41">
        <f>SUM('5'!$D$11:$AY$11)</f>
        <v>67164.799999999988</v>
      </c>
    </row>
    <row r="12" spans="1:4" ht="12" customHeight="1" x14ac:dyDescent="0.35">
      <c r="A12" s="15"/>
      <c r="B12" s="1">
        <v>3</v>
      </c>
      <c r="C12" s="16" t="s">
        <v>17</v>
      </c>
      <c r="D12" s="41">
        <f>SUM('5'!$D$12:$AY$12)</f>
        <v>33903.170000000013</v>
      </c>
    </row>
    <row r="13" spans="1:4" ht="12" customHeight="1" x14ac:dyDescent="0.35">
      <c r="A13" s="15"/>
      <c r="B13" s="1">
        <v>8</v>
      </c>
      <c r="C13" s="16" t="s">
        <v>261</v>
      </c>
      <c r="D13" s="41">
        <f>SUM('5'!$D$13:$AY$13)</f>
        <v>8.1300000000000008</v>
      </c>
    </row>
    <row r="14" spans="1:4" ht="12" customHeight="1" x14ac:dyDescent="0.35">
      <c r="A14" s="15"/>
      <c r="B14" s="1">
        <v>51</v>
      </c>
      <c r="C14" s="16" t="s">
        <v>262</v>
      </c>
      <c r="D14" s="41">
        <f>SUM('5'!$D$14:$AY$14)</f>
        <v>1100</v>
      </c>
    </row>
    <row r="15" spans="1:4" ht="12" customHeight="1" x14ac:dyDescent="0.35">
      <c r="A15" s="15"/>
      <c r="B15" s="1">
        <v>53</v>
      </c>
      <c r="C15" s="16" t="s">
        <v>263</v>
      </c>
      <c r="D15" s="41">
        <f>SUM('5'!$D$15:$AY$15)</f>
        <v>825.01</v>
      </c>
    </row>
    <row r="16" spans="1:4" ht="12" customHeight="1" x14ac:dyDescent="0.35">
      <c r="A16" s="15"/>
      <c r="B16" s="1">
        <v>63</v>
      </c>
      <c r="C16" s="16" t="s">
        <v>264</v>
      </c>
      <c r="D16" s="41">
        <f>SUM('5'!$D$16:$AY$16)</f>
        <v>258.3</v>
      </c>
    </row>
    <row r="17" spans="1:4" ht="12" customHeight="1" x14ac:dyDescent="0.35">
      <c r="A17" s="15"/>
      <c r="B17" s="1">
        <v>65</v>
      </c>
      <c r="C17" s="16" t="s">
        <v>265</v>
      </c>
      <c r="D17" s="41">
        <f>SUM('5'!$D$17:$AY$17)</f>
        <v>666.66</v>
      </c>
    </row>
    <row r="18" spans="1:4" ht="12" customHeight="1" x14ac:dyDescent="0.35">
      <c r="A18" s="15"/>
      <c r="B18" s="1">
        <v>123</v>
      </c>
      <c r="C18" s="16" t="s">
        <v>18</v>
      </c>
      <c r="D18" s="41">
        <f>SUM('5'!$D$18:$AY$18)</f>
        <v>11217.960000000008</v>
      </c>
    </row>
    <row r="19" spans="1:4" ht="12" customHeight="1" x14ac:dyDescent="0.35">
      <c r="A19" s="15"/>
      <c r="B19" s="1">
        <v>181</v>
      </c>
      <c r="C19" s="16" t="s">
        <v>75</v>
      </c>
      <c r="D19" s="41">
        <f>SUM('5'!$D$19:$AY$19)</f>
        <v>699</v>
      </c>
    </row>
    <row r="20" spans="1:4" ht="12" customHeight="1" x14ac:dyDescent="0.35">
      <c r="A20" s="15"/>
      <c r="B20" s="1">
        <v>275</v>
      </c>
      <c r="C20" s="16" t="s">
        <v>19</v>
      </c>
      <c r="D20" s="41">
        <f>SUM('5'!$D$20:$AY$20)</f>
        <v>615</v>
      </c>
    </row>
    <row r="21" spans="1:4" ht="12" customHeight="1" x14ac:dyDescent="0.35">
      <c r="A21" s="15"/>
      <c r="B21" s="1">
        <v>276</v>
      </c>
      <c r="C21" s="16" t="s">
        <v>20</v>
      </c>
      <c r="D21" s="41">
        <f>SUM('5'!$D$21:$AY$21)</f>
        <v>-2452.7399999999998</v>
      </c>
    </row>
    <row r="22" spans="1:4" ht="12" customHeight="1" x14ac:dyDescent="0.35">
      <c r="A22" s="15"/>
      <c r="B22" s="1">
        <v>277</v>
      </c>
      <c r="C22" s="16" t="s">
        <v>76</v>
      </c>
      <c r="D22" s="41">
        <f>SUM('5'!$D$22:$AY$22)</f>
        <v>-472.82</v>
      </c>
    </row>
    <row r="23" spans="1:4" ht="12" customHeight="1" x14ac:dyDescent="0.35">
      <c r="A23" s="15"/>
      <c r="B23" s="1">
        <v>278</v>
      </c>
      <c r="C23" s="16" t="s">
        <v>266</v>
      </c>
      <c r="D23" s="41">
        <f>SUM('5'!$D$23:$AY$23)</f>
        <v>-1264.01</v>
      </c>
    </row>
    <row r="24" spans="1:4" ht="12" customHeight="1" x14ac:dyDescent="0.35">
      <c r="A24" s="15"/>
      <c r="B24" s="1">
        <v>280</v>
      </c>
      <c r="C24" s="16" t="s">
        <v>267</v>
      </c>
      <c r="D24" s="41">
        <f>SUM('5'!$D$24:$AY$24)</f>
        <v>-46.449999999999996</v>
      </c>
    </row>
    <row r="25" spans="1:4" ht="12" customHeight="1" x14ac:dyDescent="0.35">
      <c r="A25" s="15"/>
      <c r="B25" s="1">
        <v>283</v>
      </c>
      <c r="C25" s="16" t="s">
        <v>268</v>
      </c>
      <c r="D25" s="41">
        <f>SUM('5'!$D$25:$AY$25)</f>
        <v>-722.02</v>
      </c>
    </row>
    <row r="26" spans="1:4" ht="12" customHeight="1" x14ac:dyDescent="0.35">
      <c r="A26" s="15"/>
      <c r="B26" s="1">
        <v>337</v>
      </c>
      <c r="C26" s="16" t="s">
        <v>21</v>
      </c>
      <c r="D26" s="41">
        <f>SUM('5'!$D$26:$AY$26)</f>
        <v>2452.7399999999998</v>
      </c>
    </row>
    <row r="27" spans="1:4" ht="12" customHeight="1" x14ac:dyDescent="0.35">
      <c r="A27" s="15"/>
      <c r="B27" s="1">
        <v>338</v>
      </c>
      <c r="C27" s="16" t="s">
        <v>269</v>
      </c>
      <c r="D27" s="41">
        <f>SUM('5'!$D$27:$AY$27)</f>
        <v>722.02</v>
      </c>
    </row>
    <row r="28" spans="1:4" ht="12" customHeight="1" x14ac:dyDescent="0.35">
      <c r="A28" s="15"/>
      <c r="B28" s="1">
        <v>339</v>
      </c>
      <c r="C28" s="16" t="s">
        <v>78</v>
      </c>
      <c r="D28" s="41">
        <f>SUM('5'!$D$28:$AY$28)</f>
        <v>2929.7799999999993</v>
      </c>
    </row>
    <row r="29" spans="1:4" ht="12" customHeight="1" x14ac:dyDescent="0.35">
      <c r="A29" s="15"/>
      <c r="B29" s="1">
        <v>343</v>
      </c>
      <c r="C29" s="16" t="s">
        <v>79</v>
      </c>
      <c r="D29" s="41">
        <f>SUM('5'!$D$29:$AY$29)</f>
        <v>472.82</v>
      </c>
    </row>
    <row r="30" spans="1:4" ht="12" customHeight="1" x14ac:dyDescent="0.35">
      <c r="A30" s="15"/>
      <c r="B30" s="1">
        <v>345</v>
      </c>
      <c r="C30" s="16" t="s">
        <v>80</v>
      </c>
      <c r="D30" s="41">
        <f>SUM('5'!$D$30:$AY$30)</f>
        <v>399.90000000000003</v>
      </c>
    </row>
    <row r="31" spans="1:4" ht="12" customHeight="1" x14ac:dyDescent="0.35">
      <c r="A31" s="15"/>
      <c r="B31" s="1">
        <v>349</v>
      </c>
      <c r="C31" s="16" t="s">
        <v>270</v>
      </c>
      <c r="D31" s="41">
        <f>SUM('5'!$D$31:$AY$31)</f>
        <v>1264.01</v>
      </c>
    </row>
    <row r="32" spans="1:4" ht="12" customHeight="1" x14ac:dyDescent="0.35">
      <c r="A32" s="15"/>
      <c r="B32" s="1">
        <v>352</v>
      </c>
      <c r="C32" s="16" t="s">
        <v>271</v>
      </c>
      <c r="D32" s="41">
        <f>SUM('5'!$D$32:$AY$32)</f>
        <v>46.449999999999996</v>
      </c>
    </row>
    <row r="33" spans="1:4" ht="12" customHeight="1" x14ac:dyDescent="0.35">
      <c r="A33" s="15"/>
      <c r="B33" s="1">
        <v>353</v>
      </c>
      <c r="C33" s="16" t="s">
        <v>81</v>
      </c>
      <c r="D33" s="41">
        <f>SUM('5'!$D$33:$AY$33)</f>
        <v>1370.3300000000002</v>
      </c>
    </row>
    <row r="34" spans="1:4" ht="12" customHeight="1" x14ac:dyDescent="0.35">
      <c r="A34" s="15"/>
      <c r="B34" s="1">
        <v>355</v>
      </c>
      <c r="C34" s="16" t="s">
        <v>272</v>
      </c>
      <c r="D34" s="41">
        <f>SUM('5'!$D$34:$AY$34)</f>
        <v>115.45</v>
      </c>
    </row>
    <row r="35" spans="1:4" ht="12" customHeight="1" x14ac:dyDescent="0.35">
      <c r="A35" s="15"/>
      <c r="B35" s="1">
        <v>356</v>
      </c>
      <c r="C35" s="16" t="s">
        <v>82</v>
      </c>
      <c r="D35" s="41">
        <f>SUM('5'!$D$35:$AY$35)</f>
        <v>669.6099999999999</v>
      </c>
    </row>
    <row r="36" spans="1:4" ht="12" customHeight="1" x14ac:dyDescent="0.35">
      <c r="A36" s="15"/>
      <c r="B36" s="1">
        <v>357</v>
      </c>
      <c r="C36" s="16" t="s">
        <v>273</v>
      </c>
      <c r="D36" s="41">
        <f>SUM('5'!$D$36:$AY$36)</f>
        <v>-115.45</v>
      </c>
    </row>
    <row r="37" spans="1:4" ht="12" customHeight="1" x14ac:dyDescent="0.35">
      <c r="A37" s="15"/>
      <c r="B37" s="1">
        <v>398</v>
      </c>
      <c r="C37" s="16" t="s">
        <v>22</v>
      </c>
      <c r="D37" s="41">
        <f>SUM('5'!$D$37:$AY$37)</f>
        <v>5918.8700000000053</v>
      </c>
    </row>
    <row r="38" spans="1:4" ht="12" customHeight="1" x14ac:dyDescent="0.35">
      <c r="A38" s="15"/>
      <c r="B38" s="1">
        <v>451</v>
      </c>
      <c r="C38" s="16" t="s">
        <v>274</v>
      </c>
      <c r="D38" s="41">
        <f>SUM('5'!$D$38:$AY$38)</f>
        <v>1886.35</v>
      </c>
    </row>
    <row r="39" spans="1:4" ht="12" customHeight="1" x14ac:dyDescent="0.35">
      <c r="A39" s="15"/>
      <c r="B39" s="1">
        <v>988</v>
      </c>
      <c r="C39" s="16" t="s">
        <v>83</v>
      </c>
      <c r="D39" s="41">
        <f>SUM('5'!$D$39:$AY$39)</f>
        <v>159.64999999999998</v>
      </c>
    </row>
    <row r="40" spans="1:4" ht="12" customHeight="1" x14ac:dyDescent="0.35">
      <c r="A40" s="15"/>
      <c r="B40" s="1"/>
      <c r="C40" s="16"/>
      <c r="D40" s="41"/>
    </row>
    <row r="41" spans="1:4" ht="12" customHeight="1" x14ac:dyDescent="0.35">
      <c r="A41" s="15" t="s">
        <v>23</v>
      </c>
      <c r="B41" s="1"/>
      <c r="C41" s="16"/>
      <c r="D41" s="41">
        <f>SUM('5'!$D$41:$AY$41)</f>
        <v>129792.51999999997</v>
      </c>
    </row>
    <row r="42" spans="1:4" ht="12" customHeight="1" x14ac:dyDescent="0.35">
      <c r="A42" s="15"/>
      <c r="B42" s="1"/>
      <c r="C42" s="16"/>
      <c r="D42" s="41"/>
    </row>
    <row r="43" spans="1:4" ht="12" customHeight="1" x14ac:dyDescent="0.35">
      <c r="A43" s="15"/>
      <c r="B43" s="1">
        <v>789</v>
      </c>
      <c r="C43" s="16" t="s">
        <v>24</v>
      </c>
      <c r="D43" s="41">
        <f>SUM('5'!$D$43:$AY$43)</f>
        <v>10443.110000000004</v>
      </c>
    </row>
    <row r="44" spans="1:4" ht="12" customHeight="1" x14ac:dyDescent="0.35">
      <c r="A44" s="15"/>
      <c r="B44" s="1">
        <v>989</v>
      </c>
      <c r="C44" s="16" t="s">
        <v>85</v>
      </c>
      <c r="D44" s="41">
        <f>SUM('5'!$D$44:$AY$44)</f>
        <v>159.64999999999998</v>
      </c>
    </row>
    <row r="45" spans="1:4" ht="12" customHeight="1" x14ac:dyDescent="0.35">
      <c r="A45" s="15"/>
      <c r="B45" s="1">
        <v>995</v>
      </c>
      <c r="C45" s="16" t="s">
        <v>25</v>
      </c>
      <c r="D45" s="41">
        <f>SUM('5'!$D$45:$AY$45)</f>
        <v>5929.88</v>
      </c>
    </row>
    <row r="46" spans="1:4" ht="12" customHeight="1" x14ac:dyDescent="0.35">
      <c r="A46" s="15"/>
      <c r="B46" s="1">
        <v>996</v>
      </c>
      <c r="C46" s="16" t="s">
        <v>26</v>
      </c>
      <c r="D46" s="41">
        <f>SUM('5'!$D$46:$AY$46)</f>
        <v>121.90999999999997</v>
      </c>
    </row>
    <row r="47" spans="1:4" ht="12" customHeight="1" x14ac:dyDescent="0.35">
      <c r="A47" s="15"/>
      <c r="B47" s="1">
        <v>997</v>
      </c>
      <c r="C47" s="16" t="s">
        <v>27</v>
      </c>
      <c r="D47" s="41">
        <f>SUM('5'!$D$47:$AY$47)</f>
        <v>1889.5599999999997</v>
      </c>
    </row>
    <row r="48" spans="1:4" ht="12" customHeight="1" x14ac:dyDescent="0.35">
      <c r="A48" s="15"/>
      <c r="B48" s="1">
        <v>999</v>
      </c>
      <c r="C48" s="16" t="s">
        <v>28</v>
      </c>
      <c r="D48" s="41">
        <f>SUM('5'!$D$48:$AY$48)</f>
        <v>21998.830000000005</v>
      </c>
    </row>
    <row r="49" spans="1:4" ht="12" customHeight="1" x14ac:dyDescent="0.35">
      <c r="A49" s="15"/>
      <c r="B49" s="1"/>
      <c r="C49" s="16"/>
      <c r="D49" s="41"/>
    </row>
    <row r="50" spans="1:4" ht="12" customHeight="1" x14ac:dyDescent="0.35">
      <c r="A50" s="15" t="s">
        <v>29</v>
      </c>
      <c r="B50" s="1"/>
      <c r="C50" s="16"/>
      <c r="D50" s="41">
        <f>SUM('5'!$D$50:$AY$50)</f>
        <v>40542.939999999995</v>
      </c>
    </row>
    <row r="51" spans="1:4" ht="12" customHeight="1" x14ac:dyDescent="0.35">
      <c r="A51" s="15"/>
      <c r="B51" s="1"/>
      <c r="C51" s="16"/>
      <c r="D51" s="41"/>
    </row>
    <row r="52" spans="1:4" ht="12" customHeight="1" x14ac:dyDescent="0.35">
      <c r="A52" s="15" t="s">
        <v>30</v>
      </c>
      <c r="B52" s="1"/>
      <c r="C52" s="16"/>
      <c r="D52" s="41">
        <f>SUM('5'!$D$52:$AY$52)</f>
        <v>89249.580000000016</v>
      </c>
    </row>
    <row r="53" spans="1:4" ht="12" customHeight="1" x14ac:dyDescent="0.35">
      <c r="A53" s="15" t="s">
        <v>31</v>
      </c>
      <c r="B53" s="1"/>
      <c r="C53" s="16"/>
      <c r="D53" s="41">
        <f>SUM('5'!$D$53:$AY$53)</f>
        <v>0</v>
      </c>
    </row>
    <row r="54" spans="1:4" ht="12" customHeight="1" x14ac:dyDescent="0.35">
      <c r="A54" s="15" t="s">
        <v>32</v>
      </c>
      <c r="B54" s="1"/>
      <c r="C54" s="16"/>
      <c r="D54" s="41">
        <f>SUM('5'!$D$54:$AY$54)</f>
        <v>39203.819999999985</v>
      </c>
    </row>
    <row r="55" spans="1:4" ht="12" customHeight="1" x14ac:dyDescent="0.35">
      <c r="A55" s="15" t="s">
        <v>33</v>
      </c>
      <c r="B55" s="1"/>
      <c r="C55" s="16"/>
      <c r="D55" s="41">
        <f>SUM('5'!$D$55:$AY$55)</f>
        <v>7941.3499999999985</v>
      </c>
    </row>
    <row r="56" spans="1:4" ht="12" customHeight="1" x14ac:dyDescent="0.35">
      <c r="A56" s="15" t="s">
        <v>34</v>
      </c>
      <c r="B56" s="1"/>
      <c r="C56" s="16"/>
      <c r="D56" s="41">
        <f>SUM('5'!$D$56:$AY$56)</f>
        <v>47145.170000000006</v>
      </c>
    </row>
    <row r="57" spans="1:4" ht="12" customHeight="1" x14ac:dyDescent="0.35">
      <c r="A57" s="15" t="s">
        <v>35</v>
      </c>
      <c r="B57" s="1"/>
      <c r="C57" s="16"/>
      <c r="D57" s="41">
        <f>SUM('5'!$D$57:$AY$57)</f>
        <v>0</v>
      </c>
    </row>
    <row r="58" spans="1:4" ht="12" customHeight="1" x14ac:dyDescent="0.35">
      <c r="A58" s="15" t="s">
        <v>36</v>
      </c>
      <c r="B58" s="1"/>
      <c r="C58" s="16"/>
      <c r="D58" s="41">
        <f>SUM('5'!$D$58:$AY$58)</f>
        <v>0</v>
      </c>
    </row>
    <row r="59" spans="1:4" ht="12" customHeight="1" x14ac:dyDescent="0.35">
      <c r="A59" s="15" t="s">
        <v>37</v>
      </c>
      <c r="B59" s="1"/>
      <c r="C59" s="16"/>
      <c r="D59" s="41">
        <f>SUM('5'!$D$59:$AY$59)</f>
        <v>168996.34</v>
      </c>
    </row>
    <row r="60" spans="1:4" ht="12" customHeight="1" x14ac:dyDescent="0.35">
      <c r="A60" s="15" t="s">
        <v>38</v>
      </c>
      <c r="B60" s="1"/>
      <c r="C60" s="16"/>
      <c r="D60" s="41">
        <f>SUM('5'!$D$60:$AY$60)</f>
        <v>127536.25999999998</v>
      </c>
    </row>
    <row r="61" spans="1:4" ht="12" customHeight="1" x14ac:dyDescent="0.35">
      <c r="A61" s="15" t="s">
        <v>39</v>
      </c>
      <c r="B61" s="1"/>
      <c r="C61" s="16"/>
      <c r="D61" s="41">
        <f>SUM('5'!$D$61:$AY$61)</f>
        <v>127536.25999999998</v>
      </c>
    </row>
    <row r="62" spans="1:4" ht="12" customHeight="1" x14ac:dyDescent="0.35">
      <c r="A62" s="15" t="s">
        <v>40</v>
      </c>
      <c r="B62" s="1"/>
      <c r="C62" s="16"/>
      <c r="D62" s="41">
        <f>SUM('5'!$D$62:$AY$62)</f>
        <v>119189.76000000004</v>
      </c>
    </row>
    <row r="63" spans="1:4" ht="12" customHeight="1" x14ac:dyDescent="0.35">
      <c r="A63" s="15" t="s">
        <v>41</v>
      </c>
      <c r="B63" s="1"/>
      <c r="C63" s="16"/>
      <c r="D63" s="41">
        <f>SUM('5'!$D$63:$AY$63)</f>
        <v>785.06000000000006</v>
      </c>
    </row>
    <row r="64" spans="1:4" ht="12" customHeight="1" x14ac:dyDescent="0.35">
      <c r="A64" s="15" t="s">
        <v>42</v>
      </c>
      <c r="B64" s="1"/>
      <c r="C64" s="16"/>
      <c r="D64" s="41">
        <f>SUM('5'!$D$64:$AY$64)</f>
        <v>0</v>
      </c>
    </row>
    <row r="65" spans="1:4" ht="12" customHeight="1" x14ac:dyDescent="0.35">
      <c r="A65" s="15" t="s">
        <v>43</v>
      </c>
      <c r="B65" s="1"/>
      <c r="C65" s="16"/>
      <c r="D65" s="40">
        <f>SUM('5'!$D$65:$AY$65)</f>
        <v>0</v>
      </c>
    </row>
    <row r="66" spans="1:4" ht="12" customHeight="1" x14ac:dyDescent="0.35">
      <c r="A66" s="15" t="s">
        <v>44</v>
      </c>
      <c r="B66" s="1"/>
      <c r="C66" s="16"/>
      <c r="D66" s="41">
        <f>SUM('5'!$D$66:$AY$66)</f>
        <v>0</v>
      </c>
    </row>
    <row r="67" spans="1:4" ht="12" customHeight="1" x14ac:dyDescent="0.35">
      <c r="A67" s="15" t="s">
        <v>45</v>
      </c>
      <c r="B67" s="1"/>
      <c r="C67" s="16"/>
      <c r="D67" s="41">
        <f>SUM('5'!$D$67:$AY$67)</f>
        <v>6888</v>
      </c>
    </row>
    <row r="68" spans="1:4" ht="12" customHeight="1" x14ac:dyDescent="0.35">
      <c r="A68" s="15" t="s">
        <v>46</v>
      </c>
      <c r="B68" s="1"/>
      <c r="C68" s="16"/>
      <c r="D68" s="41">
        <f>SUM('5'!$D$68:$AY$68)</f>
        <v>0</v>
      </c>
    </row>
    <row r="69" spans="1:4" ht="12" customHeight="1" x14ac:dyDescent="0.35">
      <c r="A69" s="15" t="s">
        <v>47</v>
      </c>
      <c r="B69" s="1"/>
      <c r="C69" s="16"/>
      <c r="D69" s="41">
        <f>SUM('5'!$D$69:$AY$69)</f>
        <v>0</v>
      </c>
    </row>
    <row r="70" spans="1:4" ht="12" customHeight="1" x14ac:dyDescent="0.35">
      <c r="A70" s="15" t="s">
        <v>48</v>
      </c>
      <c r="B70" s="1"/>
      <c r="C70" s="16"/>
      <c r="D70" s="41">
        <f>SUM('5'!$D$70:$AY$70)</f>
        <v>1393</v>
      </c>
    </row>
    <row r="71" spans="1:4" ht="12" customHeight="1" thickBot="1" x14ac:dyDescent="0.4">
      <c r="A71" s="17" t="s">
        <v>51</v>
      </c>
      <c r="B71" s="18"/>
      <c r="C71" s="19"/>
      <c r="D71" s="42">
        <v>47</v>
      </c>
    </row>
  </sheetData>
  <pageMargins left="0" right="0" top="0" bottom="0.39370078740157499" header="0" footer="0"/>
  <pageSetup paperSize="9" fitToWidth="0" orientation="landscape"/>
  <headerFooter>
    <oddHeader>&amp;CIMPUTACIÓN DE COSTES&amp;RFecha listado: 29/01/26</oddHeader>
    <oddFooter>&amp;RPág.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C4B8C-AC89-4F3A-89FB-1EFD7787DD2E}">
  <sheetPr>
    <pageSetUpPr fitToPage="1"/>
  </sheetPr>
  <dimension ref="A1:I60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baseColWidth="10" defaultColWidth="8.7265625" defaultRowHeight="12" customHeight="1" x14ac:dyDescent="0.35"/>
  <cols>
    <col min="1" max="1" width="1.7265625" customWidth="1"/>
    <col min="2" max="2" width="4.7265625" customWidth="1"/>
    <col min="3" max="3" width="56.7265625" customWidth="1"/>
    <col min="4" max="9" width="12.7265625" customWidth="1"/>
  </cols>
  <sheetData>
    <row r="1" spans="1:9" ht="12" customHeight="1" x14ac:dyDescent="0.35">
      <c r="A1" s="1"/>
      <c r="B1" s="2"/>
      <c r="C1" s="2"/>
    </row>
    <row r="2" spans="1:9" ht="12" customHeight="1" x14ac:dyDescent="0.35">
      <c r="A2" s="1" t="s">
        <v>0</v>
      </c>
      <c r="B2" s="2"/>
      <c r="C2" s="2"/>
      <c r="D2" t="s">
        <v>276</v>
      </c>
    </row>
    <row r="3" spans="1:9" ht="12" customHeight="1" thickBot="1" x14ac:dyDescent="0.4">
      <c r="A3" s="1" t="s">
        <v>1</v>
      </c>
      <c r="B3" s="2"/>
      <c r="C3" s="2"/>
    </row>
    <row r="4" spans="1:9" ht="13" customHeight="1" thickTop="1" thickBot="1" x14ac:dyDescent="0.4">
      <c r="A4" s="1" t="s">
        <v>2</v>
      </c>
      <c r="B4" s="2"/>
      <c r="C4" s="6"/>
      <c r="D4" s="20" t="s">
        <v>277</v>
      </c>
      <c r="E4" s="28" t="s">
        <v>278</v>
      </c>
      <c r="F4" s="28" t="s">
        <v>279</v>
      </c>
      <c r="G4" s="28" t="s">
        <v>280</v>
      </c>
      <c r="H4" s="28" t="s">
        <v>281</v>
      </c>
      <c r="I4" s="11" t="s">
        <v>282</v>
      </c>
    </row>
    <row r="5" spans="1:9" ht="12" customHeight="1" thickTop="1" x14ac:dyDescent="0.35">
      <c r="A5" s="1" t="s">
        <v>3</v>
      </c>
      <c r="B5" s="2"/>
      <c r="C5" s="6"/>
      <c r="D5" s="21" t="s">
        <v>147</v>
      </c>
      <c r="E5" s="29" t="s">
        <v>283</v>
      </c>
      <c r="F5" s="29" t="s">
        <v>284</v>
      </c>
      <c r="G5" s="29" t="s">
        <v>285</v>
      </c>
      <c r="H5" s="29" t="s">
        <v>62</v>
      </c>
      <c r="I5" s="3" t="s">
        <v>286</v>
      </c>
    </row>
    <row r="6" spans="1:9" ht="12" customHeight="1" x14ac:dyDescent="0.35">
      <c r="A6" s="1"/>
      <c r="B6" s="2"/>
      <c r="C6" s="6"/>
      <c r="D6" s="22" t="s">
        <v>287</v>
      </c>
      <c r="E6" s="30" t="s">
        <v>288</v>
      </c>
      <c r="F6" s="30" t="s">
        <v>289</v>
      </c>
      <c r="G6" s="30" t="s">
        <v>290</v>
      </c>
      <c r="H6" s="30" t="s">
        <v>291</v>
      </c>
      <c r="I6" s="6" t="s">
        <v>64</v>
      </c>
    </row>
    <row r="7" spans="1:9" ht="12" customHeight="1" thickBot="1" x14ac:dyDescent="0.4">
      <c r="A7" s="18"/>
      <c r="B7" s="4"/>
      <c r="C7" s="5"/>
      <c r="D7" s="23" t="s">
        <v>292</v>
      </c>
      <c r="E7" s="31" t="s">
        <v>293</v>
      </c>
      <c r="F7" s="31" t="s">
        <v>294</v>
      </c>
      <c r="G7" s="31" t="s">
        <v>295</v>
      </c>
      <c r="H7" s="31"/>
      <c r="I7" s="5" t="s">
        <v>296</v>
      </c>
    </row>
    <row r="8" spans="1:9" ht="12" customHeight="1" thickTop="1" x14ac:dyDescent="0.35">
      <c r="A8" s="12"/>
      <c r="B8" s="13"/>
      <c r="C8" s="14"/>
      <c r="D8" s="24"/>
      <c r="E8" s="32"/>
      <c r="F8" s="32"/>
      <c r="G8" s="32"/>
      <c r="H8" s="32"/>
      <c r="I8" s="7"/>
    </row>
    <row r="9" spans="1:9" ht="12" customHeight="1" x14ac:dyDescent="0.35">
      <c r="A9" s="15" t="s">
        <v>15</v>
      </c>
      <c r="B9" s="1"/>
      <c r="C9" s="16"/>
      <c r="D9" s="25"/>
      <c r="E9" s="33"/>
      <c r="F9" s="33"/>
      <c r="G9" s="33"/>
      <c r="H9" s="33"/>
      <c r="I9" s="8"/>
    </row>
    <row r="10" spans="1:9" ht="12" customHeight="1" x14ac:dyDescent="0.35">
      <c r="A10" s="15"/>
      <c r="B10" s="1"/>
      <c r="C10" s="16"/>
      <c r="D10" s="25"/>
      <c r="E10" s="33"/>
      <c r="F10" s="33"/>
      <c r="G10" s="33"/>
      <c r="H10" s="33"/>
      <c r="I10" s="8"/>
    </row>
    <row r="11" spans="1:9" ht="12" customHeight="1" x14ac:dyDescent="0.35">
      <c r="A11" s="15"/>
      <c r="B11" s="1">
        <v>1</v>
      </c>
      <c r="C11" s="16" t="s">
        <v>16</v>
      </c>
      <c r="D11" s="26">
        <v>2000</v>
      </c>
      <c r="E11" s="34">
        <v>3500</v>
      </c>
      <c r="F11" s="34">
        <v>1122</v>
      </c>
      <c r="G11" s="34">
        <v>1800</v>
      </c>
      <c r="H11" s="34">
        <v>6000</v>
      </c>
      <c r="I11" s="9">
        <v>2000</v>
      </c>
    </row>
    <row r="12" spans="1:9" ht="12" customHeight="1" x14ac:dyDescent="0.35">
      <c r="A12" s="15"/>
      <c r="B12" s="1">
        <v>3</v>
      </c>
      <c r="C12" s="16" t="s">
        <v>17</v>
      </c>
      <c r="D12" s="26">
        <v>278.89999999999998</v>
      </c>
      <c r="E12" s="34">
        <v>2445.5700000000002</v>
      </c>
      <c r="F12" s="34">
        <v>553.92999999999995</v>
      </c>
      <c r="G12" s="34">
        <v>200.81</v>
      </c>
      <c r="H12" s="34">
        <v>3700.5</v>
      </c>
      <c r="I12" s="9">
        <v>862.24</v>
      </c>
    </row>
    <row r="13" spans="1:9" ht="12" customHeight="1" x14ac:dyDescent="0.35">
      <c r="A13" s="15"/>
      <c r="B13" s="1">
        <v>8</v>
      </c>
      <c r="C13" s="16" t="s">
        <v>261</v>
      </c>
      <c r="D13" s="26"/>
      <c r="E13" s="34"/>
      <c r="F13" s="34">
        <v>91.43</v>
      </c>
      <c r="G13" s="34"/>
      <c r="H13" s="34"/>
      <c r="I13" s="9"/>
    </row>
    <row r="14" spans="1:9" ht="12" customHeight="1" x14ac:dyDescent="0.35">
      <c r="A14" s="15"/>
      <c r="B14" s="1">
        <v>123</v>
      </c>
      <c r="C14" s="16" t="s">
        <v>18</v>
      </c>
      <c r="D14" s="26">
        <v>333.34</v>
      </c>
      <c r="E14" s="34">
        <v>583.34</v>
      </c>
      <c r="F14" s="34">
        <v>187</v>
      </c>
      <c r="G14" s="34">
        <v>300</v>
      </c>
      <c r="H14" s="34">
        <v>1000</v>
      </c>
      <c r="I14" s="9">
        <v>333.34</v>
      </c>
    </row>
    <row r="15" spans="1:9" ht="12" customHeight="1" x14ac:dyDescent="0.35">
      <c r="A15" s="15"/>
      <c r="B15" s="1">
        <v>275</v>
      </c>
      <c r="C15" s="16" t="s">
        <v>19</v>
      </c>
      <c r="D15" s="26">
        <v>15</v>
      </c>
      <c r="E15" s="34">
        <v>15</v>
      </c>
      <c r="F15" s="34">
        <v>15</v>
      </c>
      <c r="G15" s="34">
        <v>15</v>
      </c>
      <c r="H15" s="34">
        <v>15</v>
      </c>
      <c r="I15" s="9">
        <v>15</v>
      </c>
    </row>
    <row r="16" spans="1:9" ht="12" customHeight="1" x14ac:dyDescent="0.35">
      <c r="A16" s="15"/>
      <c r="B16" s="1">
        <v>276</v>
      </c>
      <c r="C16" s="16" t="s">
        <v>20</v>
      </c>
      <c r="D16" s="26"/>
      <c r="E16" s="34"/>
      <c r="F16" s="34"/>
      <c r="G16" s="34"/>
      <c r="H16" s="34">
        <v>-220</v>
      </c>
      <c r="I16" s="9"/>
    </row>
    <row r="17" spans="1:9" ht="12" customHeight="1" x14ac:dyDescent="0.35">
      <c r="A17" s="15"/>
      <c r="B17" s="1">
        <v>277</v>
      </c>
      <c r="C17" s="16" t="s">
        <v>76</v>
      </c>
      <c r="D17" s="26"/>
      <c r="E17" s="34"/>
      <c r="F17" s="34"/>
      <c r="G17" s="34"/>
      <c r="H17" s="34">
        <v>-67.400000000000006</v>
      </c>
      <c r="I17" s="9"/>
    </row>
    <row r="18" spans="1:9" ht="12" customHeight="1" x14ac:dyDescent="0.35">
      <c r="A18" s="15"/>
      <c r="B18" s="1">
        <v>280</v>
      </c>
      <c r="C18" s="16" t="s">
        <v>267</v>
      </c>
      <c r="D18" s="26"/>
      <c r="E18" s="34"/>
      <c r="F18" s="34"/>
      <c r="G18" s="34"/>
      <c r="H18" s="34">
        <v>-18.579999999999998</v>
      </c>
      <c r="I18" s="9"/>
    </row>
    <row r="19" spans="1:9" ht="12" customHeight="1" x14ac:dyDescent="0.35">
      <c r="A19" s="15"/>
      <c r="B19" s="1">
        <v>337</v>
      </c>
      <c r="C19" s="16" t="s">
        <v>21</v>
      </c>
      <c r="D19" s="26"/>
      <c r="E19" s="34"/>
      <c r="F19" s="34"/>
      <c r="G19" s="34"/>
      <c r="H19" s="34">
        <v>220</v>
      </c>
      <c r="I19" s="9"/>
    </row>
    <row r="20" spans="1:9" ht="12" customHeight="1" x14ac:dyDescent="0.35">
      <c r="A20" s="15"/>
      <c r="B20" s="1">
        <v>339</v>
      </c>
      <c r="C20" s="16" t="s">
        <v>78</v>
      </c>
      <c r="D20" s="26">
        <v>220</v>
      </c>
      <c r="E20" s="34">
        <v>220</v>
      </c>
      <c r="F20" s="34">
        <v>220</v>
      </c>
      <c r="G20" s="34">
        <v>210.23</v>
      </c>
      <c r="H20" s="34"/>
      <c r="I20" s="9">
        <v>169.91</v>
      </c>
    </row>
    <row r="21" spans="1:9" ht="12" customHeight="1" x14ac:dyDescent="0.35">
      <c r="A21" s="15"/>
      <c r="B21" s="1">
        <v>343</v>
      </c>
      <c r="C21" s="16" t="s">
        <v>79</v>
      </c>
      <c r="D21" s="26"/>
      <c r="E21" s="34"/>
      <c r="F21" s="34"/>
      <c r="G21" s="34"/>
      <c r="H21" s="34">
        <v>67.400000000000006</v>
      </c>
      <c r="I21" s="9"/>
    </row>
    <row r="22" spans="1:9" ht="12" customHeight="1" x14ac:dyDescent="0.35">
      <c r="A22" s="15"/>
      <c r="B22" s="1">
        <v>345</v>
      </c>
      <c r="C22" s="16" t="s">
        <v>80</v>
      </c>
      <c r="D22" s="26">
        <v>49.2</v>
      </c>
      <c r="E22" s="34">
        <v>9.6</v>
      </c>
      <c r="F22" s="34">
        <v>38.200000000000003</v>
      </c>
      <c r="G22" s="34">
        <v>27.65</v>
      </c>
      <c r="H22" s="34"/>
      <c r="I22" s="9">
        <v>7.3</v>
      </c>
    </row>
    <row r="23" spans="1:9" ht="12" customHeight="1" x14ac:dyDescent="0.35">
      <c r="A23" s="15"/>
      <c r="B23" s="1">
        <v>352</v>
      </c>
      <c r="C23" s="16" t="s">
        <v>271</v>
      </c>
      <c r="D23" s="26"/>
      <c r="E23" s="34"/>
      <c r="F23" s="34"/>
      <c r="G23" s="34"/>
      <c r="H23" s="34">
        <v>18.579999999999998</v>
      </c>
      <c r="I23" s="9"/>
    </row>
    <row r="24" spans="1:9" ht="12" customHeight="1" x14ac:dyDescent="0.35">
      <c r="A24" s="15"/>
      <c r="B24" s="1">
        <v>353</v>
      </c>
      <c r="C24" s="16" t="s">
        <v>81</v>
      </c>
      <c r="D24" s="26">
        <v>41.67</v>
      </c>
      <c r="E24" s="34">
        <v>41.67</v>
      </c>
      <c r="F24" s="34">
        <v>41.67</v>
      </c>
      <c r="G24" s="34">
        <v>41.67</v>
      </c>
      <c r="H24" s="34">
        <v>106.43</v>
      </c>
      <c r="I24" s="9">
        <v>41.67</v>
      </c>
    </row>
    <row r="25" spans="1:9" ht="12" customHeight="1" x14ac:dyDescent="0.35">
      <c r="A25" s="15"/>
      <c r="B25" s="1">
        <v>355</v>
      </c>
      <c r="C25" s="16" t="s">
        <v>272</v>
      </c>
      <c r="D25" s="26"/>
      <c r="E25" s="34"/>
      <c r="F25" s="34"/>
      <c r="G25" s="34"/>
      <c r="H25" s="34">
        <v>46.18</v>
      </c>
      <c r="I25" s="9"/>
    </row>
    <row r="26" spans="1:9" ht="12" customHeight="1" x14ac:dyDescent="0.35">
      <c r="A26" s="15"/>
      <c r="B26" s="1">
        <v>356</v>
      </c>
      <c r="C26" s="16" t="s">
        <v>82</v>
      </c>
      <c r="D26" s="26">
        <v>23.09</v>
      </c>
      <c r="E26" s="34">
        <v>23.09</v>
      </c>
      <c r="F26" s="34">
        <v>23.09</v>
      </c>
      <c r="G26" s="34">
        <v>23.09</v>
      </c>
      <c r="H26" s="34">
        <v>23.09</v>
      </c>
      <c r="I26" s="9">
        <v>23.09</v>
      </c>
    </row>
    <row r="27" spans="1:9" ht="12" customHeight="1" x14ac:dyDescent="0.35">
      <c r="A27" s="15"/>
      <c r="B27" s="1">
        <v>357</v>
      </c>
      <c r="C27" s="16" t="s">
        <v>273</v>
      </c>
      <c r="D27" s="26"/>
      <c r="E27" s="34"/>
      <c r="F27" s="34"/>
      <c r="G27" s="34"/>
      <c r="H27" s="34">
        <v>-46.18</v>
      </c>
      <c r="I27" s="9"/>
    </row>
    <row r="28" spans="1:9" ht="12" customHeight="1" x14ac:dyDescent="0.35">
      <c r="A28" s="15"/>
      <c r="B28" s="1">
        <v>398</v>
      </c>
      <c r="C28" s="16" t="s">
        <v>22</v>
      </c>
      <c r="D28" s="26">
        <v>137.76</v>
      </c>
      <c r="E28" s="34">
        <v>137.76</v>
      </c>
      <c r="F28" s="34">
        <v>137.06</v>
      </c>
      <c r="G28" s="34">
        <v>99.19</v>
      </c>
      <c r="H28" s="34">
        <v>137.06</v>
      </c>
      <c r="I28" s="9">
        <v>137.76</v>
      </c>
    </row>
    <row r="29" spans="1:9" ht="12" customHeight="1" x14ac:dyDescent="0.35">
      <c r="A29" s="15"/>
      <c r="B29" s="1">
        <v>988</v>
      </c>
      <c r="C29" s="16" t="s">
        <v>83</v>
      </c>
      <c r="D29" s="26">
        <v>4.03</v>
      </c>
      <c r="E29" s="34">
        <v>6.68</v>
      </c>
      <c r="F29" s="34">
        <v>3.13</v>
      </c>
      <c r="G29" s="34">
        <v>3.68</v>
      </c>
      <c r="H29" s="34">
        <v>24.02</v>
      </c>
      <c r="I29" s="9">
        <v>4.47</v>
      </c>
    </row>
    <row r="30" spans="1:9" ht="12" customHeight="1" x14ac:dyDescent="0.35">
      <c r="A30" s="15"/>
      <c r="B30" s="1"/>
      <c r="C30" s="16"/>
      <c r="D30" s="26"/>
      <c r="E30" s="34"/>
      <c r="F30" s="34"/>
      <c r="G30" s="34"/>
      <c r="H30" s="34"/>
      <c r="I30" s="9"/>
    </row>
    <row r="31" spans="1:9" ht="12" customHeight="1" x14ac:dyDescent="0.35">
      <c r="A31" s="15" t="s">
        <v>23</v>
      </c>
      <c r="B31" s="1"/>
      <c r="C31" s="16"/>
      <c r="D31" s="26">
        <f t="shared" ref="D31:I31" si="0">SUM(D11:D30)</f>
        <v>3102.9900000000002</v>
      </c>
      <c r="E31" s="34">
        <f t="shared" si="0"/>
        <v>6982.7100000000009</v>
      </c>
      <c r="F31" s="34">
        <f t="shared" si="0"/>
        <v>2432.5099999999998</v>
      </c>
      <c r="G31" s="34">
        <f t="shared" si="0"/>
        <v>2721.32</v>
      </c>
      <c r="H31" s="34">
        <f t="shared" si="0"/>
        <v>11006.1</v>
      </c>
      <c r="I31" s="9">
        <f t="shared" si="0"/>
        <v>3594.78</v>
      </c>
    </row>
    <row r="32" spans="1:9" ht="12" customHeight="1" x14ac:dyDescent="0.35">
      <c r="A32" s="15"/>
      <c r="B32" s="1"/>
      <c r="C32" s="16"/>
      <c r="D32" s="26"/>
      <c r="E32" s="34"/>
      <c r="F32" s="34"/>
      <c r="G32" s="34"/>
      <c r="H32" s="34"/>
      <c r="I32" s="9"/>
    </row>
    <row r="33" spans="1:9" ht="12" customHeight="1" x14ac:dyDescent="0.35">
      <c r="A33" s="15"/>
      <c r="B33" s="1">
        <v>789</v>
      </c>
      <c r="C33" s="16" t="s">
        <v>24</v>
      </c>
      <c r="D33" s="26">
        <v>333.96</v>
      </c>
      <c r="E33" s="34">
        <v>294.36</v>
      </c>
      <c r="F33" s="34">
        <v>322.95999999999998</v>
      </c>
      <c r="G33" s="34">
        <v>302.64</v>
      </c>
      <c r="H33" s="34">
        <v>481.68</v>
      </c>
      <c r="I33" s="9">
        <v>241.97</v>
      </c>
    </row>
    <row r="34" spans="1:9" ht="12" customHeight="1" x14ac:dyDescent="0.35">
      <c r="A34" s="15"/>
      <c r="B34" s="1">
        <v>989</v>
      </c>
      <c r="C34" s="16" t="s">
        <v>85</v>
      </c>
      <c r="D34" s="26">
        <v>4.03</v>
      </c>
      <c r="E34" s="34">
        <v>6.68</v>
      </c>
      <c r="F34" s="34">
        <v>3.13</v>
      </c>
      <c r="G34" s="34">
        <v>3.68</v>
      </c>
      <c r="H34" s="34">
        <v>24.02</v>
      </c>
      <c r="I34" s="9">
        <v>4.47</v>
      </c>
    </row>
    <row r="35" spans="1:9" ht="12" customHeight="1" x14ac:dyDescent="0.35">
      <c r="A35" s="15"/>
      <c r="B35" s="1">
        <v>995</v>
      </c>
      <c r="C35" s="16" t="s">
        <v>25</v>
      </c>
      <c r="D35" s="26">
        <v>150.30000000000001</v>
      </c>
      <c r="E35" s="34">
        <v>251.25</v>
      </c>
      <c r="F35" s="34">
        <v>117.82</v>
      </c>
      <c r="G35" s="34">
        <v>131.81</v>
      </c>
      <c r="H35" s="34">
        <v>260.66000000000003</v>
      </c>
      <c r="I35" s="9">
        <v>174.13</v>
      </c>
    </row>
    <row r="36" spans="1:9" ht="12" customHeight="1" x14ac:dyDescent="0.35">
      <c r="A36" s="15"/>
      <c r="B36" s="1">
        <v>996</v>
      </c>
      <c r="C36" s="16" t="s">
        <v>26</v>
      </c>
      <c r="D36" s="26">
        <v>3.1</v>
      </c>
      <c r="E36" s="34">
        <v>5.0999999999999996</v>
      </c>
      <c r="F36" s="34">
        <v>2.4300000000000002</v>
      </c>
      <c r="G36" s="34">
        <v>2.72</v>
      </c>
      <c r="H36" s="34">
        <v>5.0999999999999996</v>
      </c>
      <c r="I36" s="9">
        <v>3.59</v>
      </c>
    </row>
    <row r="37" spans="1:9" ht="12" customHeight="1" x14ac:dyDescent="0.35">
      <c r="A37" s="15"/>
      <c r="B37" s="1">
        <v>997</v>
      </c>
      <c r="C37" s="16" t="s">
        <v>27</v>
      </c>
      <c r="D37" s="26">
        <v>48.03</v>
      </c>
      <c r="E37" s="34">
        <v>79.069999999999993</v>
      </c>
      <c r="F37" s="34">
        <v>37.659999999999997</v>
      </c>
      <c r="G37" s="34">
        <v>42.12</v>
      </c>
      <c r="H37" s="34">
        <v>79.069999999999993</v>
      </c>
      <c r="I37" s="9">
        <v>55.65</v>
      </c>
    </row>
    <row r="38" spans="1:9" ht="12" customHeight="1" x14ac:dyDescent="0.35">
      <c r="A38" s="15"/>
      <c r="B38" s="1">
        <v>999</v>
      </c>
      <c r="C38" s="16" t="s">
        <v>28</v>
      </c>
      <c r="D38" s="26">
        <v>483.05</v>
      </c>
      <c r="E38" s="34">
        <v>1933.01</v>
      </c>
      <c r="F38" s="34">
        <v>285.63</v>
      </c>
      <c r="G38" s="34">
        <v>384.71</v>
      </c>
      <c r="H38" s="34">
        <v>3640.49</v>
      </c>
      <c r="I38" s="9">
        <v>648.24</v>
      </c>
    </row>
    <row r="39" spans="1:9" ht="12" customHeight="1" x14ac:dyDescent="0.35">
      <c r="A39" s="15"/>
      <c r="B39" s="1"/>
      <c r="C39" s="16"/>
      <c r="D39" s="26"/>
      <c r="E39" s="34"/>
      <c r="F39" s="34"/>
      <c r="G39" s="34"/>
      <c r="H39" s="34"/>
      <c r="I39" s="9"/>
    </row>
    <row r="40" spans="1:9" ht="12" customHeight="1" x14ac:dyDescent="0.35">
      <c r="A40" s="15" t="s">
        <v>29</v>
      </c>
      <c r="B40" s="1"/>
      <c r="C40" s="16"/>
      <c r="D40" s="26">
        <f t="shared" ref="D40:I40" si="1">SUM(D32:D39)</f>
        <v>1022.47</v>
      </c>
      <c r="E40" s="34">
        <f t="shared" si="1"/>
        <v>2569.4700000000003</v>
      </c>
      <c r="F40" s="34">
        <f t="shared" si="1"/>
        <v>769.63</v>
      </c>
      <c r="G40" s="34">
        <f t="shared" si="1"/>
        <v>867.68000000000006</v>
      </c>
      <c r="H40" s="34">
        <f t="shared" si="1"/>
        <v>4491.0199999999995</v>
      </c>
      <c r="I40" s="9">
        <f t="shared" si="1"/>
        <v>1128.05</v>
      </c>
    </row>
    <row r="41" spans="1:9" ht="12" customHeight="1" x14ac:dyDescent="0.35">
      <c r="A41" s="15"/>
      <c r="B41" s="1"/>
      <c r="C41" s="16"/>
      <c r="D41" s="26"/>
      <c r="E41" s="34"/>
      <c r="F41" s="34"/>
      <c r="G41" s="34"/>
      <c r="H41" s="34"/>
      <c r="I41" s="9"/>
    </row>
    <row r="42" spans="1:9" ht="12" customHeight="1" x14ac:dyDescent="0.35">
      <c r="A42" s="15" t="s">
        <v>30</v>
      </c>
      <c r="B42" s="1"/>
      <c r="C42" s="16"/>
      <c r="D42" s="26">
        <f t="shared" ref="D42:I42" si="2">(D31-D40)</f>
        <v>2080.5200000000004</v>
      </c>
      <c r="E42" s="34">
        <f t="shared" si="2"/>
        <v>4413.2400000000007</v>
      </c>
      <c r="F42" s="34">
        <f t="shared" si="2"/>
        <v>1662.8799999999997</v>
      </c>
      <c r="G42" s="34">
        <f t="shared" si="2"/>
        <v>1853.64</v>
      </c>
      <c r="H42" s="34">
        <f t="shared" si="2"/>
        <v>6515.0800000000008</v>
      </c>
      <c r="I42" s="9">
        <f t="shared" si="2"/>
        <v>2466.7300000000005</v>
      </c>
    </row>
    <row r="43" spans="1:9" ht="12" customHeight="1" x14ac:dyDescent="0.35">
      <c r="A43" s="15" t="s">
        <v>31</v>
      </c>
      <c r="B43" s="1"/>
      <c r="C43" s="16"/>
      <c r="D43" s="26">
        <v>0</v>
      </c>
      <c r="E43" s="34">
        <v>0</v>
      </c>
      <c r="F43" s="34">
        <v>0</v>
      </c>
      <c r="G43" s="34">
        <v>0</v>
      </c>
      <c r="H43" s="34">
        <v>0</v>
      </c>
      <c r="I43" s="9">
        <v>0</v>
      </c>
    </row>
    <row r="44" spans="1:9" ht="12" customHeight="1" x14ac:dyDescent="0.35">
      <c r="A44" s="15" t="s">
        <v>32</v>
      </c>
      <c r="B44" s="1"/>
      <c r="C44" s="16"/>
      <c r="D44" s="26">
        <v>996.32</v>
      </c>
      <c r="E44" s="34">
        <v>1659.12</v>
      </c>
      <c r="F44" s="34">
        <v>781.05</v>
      </c>
      <c r="G44" s="34">
        <v>873.71</v>
      </c>
      <c r="H44" s="34">
        <v>1706.78</v>
      </c>
      <c r="I44" s="9">
        <v>1154.28</v>
      </c>
    </row>
    <row r="45" spans="1:9" ht="12" customHeight="1" x14ac:dyDescent="0.35">
      <c r="A45" s="15" t="s">
        <v>33</v>
      </c>
      <c r="B45" s="1"/>
      <c r="C45" s="16"/>
      <c r="D45" s="26">
        <v>201.43</v>
      </c>
      <c r="E45" s="34">
        <v>335.42</v>
      </c>
      <c r="F45" s="34">
        <v>157.91</v>
      </c>
      <c r="G45" s="34">
        <v>176.65</v>
      </c>
      <c r="H45" s="34">
        <v>344.83</v>
      </c>
      <c r="I45" s="9">
        <v>233.37</v>
      </c>
    </row>
    <row r="46" spans="1:9" ht="12" customHeight="1" x14ac:dyDescent="0.35">
      <c r="A46" s="15" t="s">
        <v>34</v>
      </c>
      <c r="B46" s="1"/>
      <c r="C46" s="16"/>
      <c r="D46" s="26">
        <v>1197.75</v>
      </c>
      <c r="E46" s="34">
        <v>1994.54</v>
      </c>
      <c r="F46" s="34">
        <v>938.96</v>
      </c>
      <c r="G46" s="34">
        <v>1050.3599999999999</v>
      </c>
      <c r="H46" s="34">
        <v>2051.61</v>
      </c>
      <c r="I46" s="9">
        <v>1387.65</v>
      </c>
    </row>
    <row r="47" spans="1:9" ht="12" customHeight="1" x14ac:dyDescent="0.35">
      <c r="A47" s="15" t="s">
        <v>35</v>
      </c>
      <c r="B47" s="1"/>
      <c r="C47" s="16"/>
      <c r="D47" s="26">
        <v>0</v>
      </c>
      <c r="E47" s="34">
        <v>0</v>
      </c>
      <c r="F47" s="34">
        <v>0</v>
      </c>
      <c r="G47" s="34">
        <v>0</v>
      </c>
      <c r="H47" s="34">
        <v>0</v>
      </c>
      <c r="I47" s="9">
        <v>0</v>
      </c>
    </row>
    <row r="48" spans="1:9" ht="12" customHeight="1" x14ac:dyDescent="0.35">
      <c r="A48" s="15" t="s">
        <v>36</v>
      </c>
      <c r="B48" s="1"/>
      <c r="C48" s="16"/>
      <c r="D48" s="26">
        <v>0</v>
      </c>
      <c r="E48" s="34">
        <v>0</v>
      </c>
      <c r="F48" s="34">
        <v>0</v>
      </c>
      <c r="G48" s="34">
        <v>0</v>
      </c>
      <c r="H48" s="34">
        <v>0</v>
      </c>
      <c r="I48" s="9">
        <v>0</v>
      </c>
    </row>
    <row r="49" spans="1:9" ht="12" customHeight="1" x14ac:dyDescent="0.35">
      <c r="A49" s="15" t="s">
        <v>37</v>
      </c>
      <c r="B49" s="1"/>
      <c r="C49" s="16"/>
      <c r="D49" s="26">
        <f t="shared" ref="D49:I49" si="3">D31+D44</f>
        <v>4099.3100000000004</v>
      </c>
      <c r="E49" s="34">
        <f t="shared" si="3"/>
        <v>8641.8300000000017</v>
      </c>
      <c r="F49" s="34">
        <f t="shared" si="3"/>
        <v>3213.5599999999995</v>
      </c>
      <c r="G49" s="34">
        <f t="shared" si="3"/>
        <v>3595.03</v>
      </c>
      <c r="H49" s="34">
        <f t="shared" si="3"/>
        <v>12712.880000000001</v>
      </c>
      <c r="I49" s="9">
        <f t="shared" si="3"/>
        <v>4749.0600000000004</v>
      </c>
    </row>
    <row r="50" spans="1:9" ht="12" customHeight="1" x14ac:dyDescent="0.35">
      <c r="A50" s="15" t="s">
        <v>38</v>
      </c>
      <c r="B50" s="1"/>
      <c r="C50" s="16"/>
      <c r="D50" s="26">
        <v>3098.96</v>
      </c>
      <c r="E50" s="34">
        <v>5101.2</v>
      </c>
      <c r="F50" s="34">
        <v>2429.38</v>
      </c>
      <c r="G50" s="34">
        <v>2717.64</v>
      </c>
      <c r="H50" s="34">
        <v>5101.2</v>
      </c>
      <c r="I50" s="9">
        <v>3590.31</v>
      </c>
    </row>
    <row r="51" spans="1:9" ht="12" customHeight="1" x14ac:dyDescent="0.35">
      <c r="A51" s="15" t="s">
        <v>39</v>
      </c>
      <c r="B51" s="1"/>
      <c r="C51" s="16"/>
      <c r="D51" s="26">
        <v>3098.96</v>
      </c>
      <c r="E51" s="34">
        <v>5101.2</v>
      </c>
      <c r="F51" s="34">
        <v>2429.38</v>
      </c>
      <c r="G51" s="34">
        <v>2717.64</v>
      </c>
      <c r="H51" s="34">
        <v>5101.2</v>
      </c>
      <c r="I51" s="9">
        <v>3590.31</v>
      </c>
    </row>
    <row r="52" spans="1:9" ht="12" customHeight="1" x14ac:dyDescent="0.35">
      <c r="A52" s="15" t="s">
        <v>40</v>
      </c>
      <c r="B52" s="1"/>
      <c r="C52" s="16"/>
      <c r="D52" s="26">
        <v>2765</v>
      </c>
      <c r="E52" s="34">
        <v>6681.67</v>
      </c>
      <c r="F52" s="34">
        <v>2106.42</v>
      </c>
      <c r="G52" s="34">
        <v>2415</v>
      </c>
      <c r="H52" s="34">
        <v>10500.4</v>
      </c>
      <c r="I52" s="9">
        <v>3348.34</v>
      </c>
    </row>
    <row r="53" spans="1:9" ht="12" customHeight="1" x14ac:dyDescent="0.35">
      <c r="A53" s="15" t="s">
        <v>41</v>
      </c>
      <c r="B53" s="1"/>
      <c r="C53" s="16"/>
      <c r="D53" s="26">
        <v>23.09</v>
      </c>
      <c r="E53" s="34">
        <v>23.09</v>
      </c>
      <c r="F53" s="34">
        <v>23.09</v>
      </c>
      <c r="G53" s="34">
        <v>23.09</v>
      </c>
      <c r="H53" s="34">
        <v>69.27</v>
      </c>
      <c r="I53" s="9">
        <v>23.09</v>
      </c>
    </row>
    <row r="54" spans="1:9" ht="12" customHeight="1" x14ac:dyDescent="0.35">
      <c r="A54" s="15" t="s">
        <v>42</v>
      </c>
      <c r="B54" s="1"/>
      <c r="C54" s="16"/>
      <c r="D54" s="26">
        <v>0</v>
      </c>
      <c r="E54" s="34">
        <v>0</v>
      </c>
      <c r="F54" s="34">
        <v>0</v>
      </c>
      <c r="G54" s="34">
        <v>0</v>
      </c>
      <c r="H54" s="34">
        <v>0</v>
      </c>
      <c r="I54" s="9">
        <v>0</v>
      </c>
    </row>
    <row r="55" spans="1:9" ht="12" customHeight="1" x14ac:dyDescent="0.35">
      <c r="A55" s="15" t="s">
        <v>43</v>
      </c>
      <c r="B55" s="1"/>
      <c r="C55" s="16"/>
      <c r="D55" s="25">
        <v>0</v>
      </c>
      <c r="E55" s="33">
        <v>0</v>
      </c>
      <c r="F55" s="33">
        <v>0</v>
      </c>
      <c r="G55" s="33">
        <v>0</v>
      </c>
      <c r="H55" s="33">
        <v>0</v>
      </c>
      <c r="I55" s="8">
        <v>0</v>
      </c>
    </row>
    <row r="56" spans="1:9" ht="12" customHeight="1" x14ac:dyDescent="0.35">
      <c r="A56" s="15" t="s">
        <v>44</v>
      </c>
      <c r="B56" s="1"/>
      <c r="C56" s="16"/>
      <c r="D56" s="26">
        <v>0</v>
      </c>
      <c r="E56" s="34">
        <v>0</v>
      </c>
      <c r="F56" s="34">
        <v>0</v>
      </c>
      <c r="G56" s="34">
        <v>0</v>
      </c>
      <c r="H56" s="34">
        <v>0</v>
      </c>
      <c r="I56" s="9">
        <v>0</v>
      </c>
    </row>
    <row r="57" spans="1:9" ht="12" customHeight="1" x14ac:dyDescent="0.35">
      <c r="A57" s="15" t="s">
        <v>45</v>
      </c>
      <c r="B57" s="1"/>
      <c r="C57" s="16"/>
      <c r="D57" s="26">
        <v>160</v>
      </c>
      <c r="E57" s="34">
        <v>160</v>
      </c>
      <c r="F57" s="34">
        <v>160</v>
      </c>
      <c r="G57" s="34">
        <v>115.2</v>
      </c>
      <c r="H57" s="34">
        <v>160</v>
      </c>
      <c r="I57" s="9">
        <v>160</v>
      </c>
    </row>
    <row r="58" spans="1:9" ht="12" customHeight="1" x14ac:dyDescent="0.35">
      <c r="A58" s="15" t="s">
        <v>46</v>
      </c>
      <c r="B58" s="1"/>
      <c r="C58" s="16"/>
      <c r="D58" s="26">
        <v>0</v>
      </c>
      <c r="E58" s="34">
        <v>0</v>
      </c>
      <c r="F58" s="34">
        <v>0</v>
      </c>
      <c r="G58" s="34">
        <v>0</v>
      </c>
      <c r="H58" s="34">
        <v>0</v>
      </c>
      <c r="I58" s="9">
        <v>0</v>
      </c>
    </row>
    <row r="59" spans="1:9" ht="12" customHeight="1" x14ac:dyDescent="0.35">
      <c r="A59" s="15" t="s">
        <v>47</v>
      </c>
      <c r="B59" s="1"/>
      <c r="C59" s="16"/>
      <c r="D59" s="26">
        <v>0</v>
      </c>
      <c r="E59" s="34">
        <v>0</v>
      </c>
      <c r="F59" s="34">
        <v>0</v>
      </c>
      <c r="G59" s="34">
        <v>0</v>
      </c>
      <c r="H59" s="34">
        <v>0</v>
      </c>
      <c r="I59" s="9">
        <v>0</v>
      </c>
    </row>
    <row r="60" spans="1:9" ht="12" customHeight="1" thickBot="1" x14ac:dyDescent="0.4">
      <c r="A60" s="17" t="s">
        <v>48</v>
      </c>
      <c r="B60" s="18"/>
      <c r="C60" s="19"/>
      <c r="D60" s="27">
        <v>30</v>
      </c>
      <c r="E60" s="35">
        <v>30</v>
      </c>
      <c r="F60" s="35">
        <v>30</v>
      </c>
      <c r="G60" s="35">
        <v>30</v>
      </c>
      <c r="H60" s="35">
        <v>30</v>
      </c>
      <c r="I60" s="10">
        <v>30</v>
      </c>
    </row>
  </sheetData>
  <pageMargins left="0" right="0" top="0" bottom="0.39370078740157499" header="0" footer="0"/>
  <pageSetup paperSize="9" fitToWidth="0" orientation="landscape"/>
  <headerFooter>
    <oddHeader>&amp;CIMPUTACIÓN DE COSTES&amp;RFecha listado: 29/01/26</oddHeader>
    <oddFooter>&amp;RPág. 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F7E07-7FE6-43B4-9E12-350A68CF7420}">
  <sheetPr>
    <pageSetUpPr fitToPage="1"/>
  </sheetPr>
  <dimension ref="A1:D61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baseColWidth="10" defaultColWidth="8.7265625" defaultRowHeight="12" customHeight="1" x14ac:dyDescent="0.35"/>
  <cols>
    <col min="1" max="1" width="1.7265625" customWidth="1"/>
    <col min="2" max="2" width="4.7265625" customWidth="1"/>
    <col min="3" max="3" width="56.7265625" customWidth="1"/>
    <col min="4" max="4" width="24.7265625" customWidth="1"/>
  </cols>
  <sheetData>
    <row r="1" spans="1:4" ht="12" customHeight="1" x14ac:dyDescent="0.35">
      <c r="A1" s="1"/>
      <c r="B1" s="2"/>
      <c r="C1" s="2"/>
    </row>
    <row r="2" spans="1:4" ht="12" customHeight="1" x14ac:dyDescent="0.35">
      <c r="A2" s="1" t="s">
        <v>0</v>
      </c>
      <c r="B2" s="2"/>
      <c r="C2" s="2"/>
      <c r="D2" t="s">
        <v>276</v>
      </c>
    </row>
    <row r="3" spans="1:4" ht="12" customHeight="1" thickBot="1" x14ac:dyDescent="0.4">
      <c r="A3" s="1" t="s">
        <v>1</v>
      </c>
      <c r="B3" s="2"/>
      <c r="C3" s="2"/>
    </row>
    <row r="4" spans="1:4" ht="13" customHeight="1" thickTop="1" thickBot="1" x14ac:dyDescent="0.4">
      <c r="A4" s="1" t="s">
        <v>2</v>
      </c>
      <c r="B4" s="2"/>
      <c r="C4" s="6"/>
      <c r="D4" s="43" t="s">
        <v>49</v>
      </c>
    </row>
    <row r="5" spans="1:4" ht="12" customHeight="1" thickTop="1" x14ac:dyDescent="0.35">
      <c r="A5" s="1" t="s">
        <v>3</v>
      </c>
      <c r="B5" s="2"/>
      <c r="C5" s="6"/>
      <c r="D5" s="36" t="s">
        <v>297</v>
      </c>
    </row>
    <row r="6" spans="1:4" ht="12" customHeight="1" x14ac:dyDescent="0.35">
      <c r="A6" s="1"/>
      <c r="B6" s="2"/>
      <c r="C6" s="6"/>
      <c r="D6" s="37"/>
    </row>
    <row r="7" spans="1:4" ht="12" customHeight="1" thickBot="1" x14ac:dyDescent="0.4">
      <c r="A7" s="18"/>
      <c r="B7" s="4"/>
      <c r="C7" s="5"/>
      <c r="D7" s="38"/>
    </row>
    <row r="8" spans="1:4" ht="12" customHeight="1" thickTop="1" x14ac:dyDescent="0.35">
      <c r="A8" s="12"/>
      <c r="B8" s="13"/>
      <c r="C8" s="14"/>
      <c r="D8" s="39"/>
    </row>
    <row r="9" spans="1:4" ht="12" customHeight="1" x14ac:dyDescent="0.35">
      <c r="A9" s="15" t="s">
        <v>15</v>
      </c>
      <c r="B9" s="1"/>
      <c r="C9" s="16"/>
      <c r="D9" s="40"/>
    </row>
    <row r="10" spans="1:4" ht="12" customHeight="1" x14ac:dyDescent="0.35">
      <c r="A10" s="15"/>
      <c r="B10" s="1"/>
      <c r="C10" s="16"/>
      <c r="D10" s="40"/>
    </row>
    <row r="11" spans="1:4" ht="12" customHeight="1" x14ac:dyDescent="0.35">
      <c r="A11" s="15"/>
      <c r="B11" s="1">
        <v>1</v>
      </c>
      <c r="C11" s="16" t="s">
        <v>16</v>
      </c>
      <c r="D11" s="41">
        <f>SUM('7'!$D$11:$J$11)</f>
        <v>16422</v>
      </c>
    </row>
    <row r="12" spans="1:4" ht="12" customHeight="1" x14ac:dyDescent="0.35">
      <c r="A12" s="15"/>
      <c r="B12" s="1">
        <v>3</v>
      </c>
      <c r="C12" s="16" t="s">
        <v>17</v>
      </c>
      <c r="D12" s="41">
        <f>SUM('7'!$D$12:$J$12)</f>
        <v>8041.95</v>
      </c>
    </row>
    <row r="13" spans="1:4" ht="12" customHeight="1" x14ac:dyDescent="0.35">
      <c r="A13" s="15"/>
      <c r="B13" s="1">
        <v>8</v>
      </c>
      <c r="C13" s="16" t="s">
        <v>261</v>
      </c>
      <c r="D13" s="41">
        <f>SUM('7'!$D$13:$J$13)</f>
        <v>91.43</v>
      </c>
    </row>
    <row r="14" spans="1:4" ht="12" customHeight="1" x14ac:dyDescent="0.35">
      <c r="A14" s="15"/>
      <c r="B14" s="1">
        <v>123</v>
      </c>
      <c r="C14" s="16" t="s">
        <v>18</v>
      </c>
      <c r="D14" s="41">
        <f>SUM('7'!$D$14:$J$14)</f>
        <v>2737.0200000000004</v>
      </c>
    </row>
    <row r="15" spans="1:4" ht="12" customHeight="1" x14ac:dyDescent="0.35">
      <c r="A15" s="15"/>
      <c r="B15" s="1">
        <v>275</v>
      </c>
      <c r="C15" s="16" t="s">
        <v>19</v>
      </c>
      <c r="D15" s="41">
        <f>SUM('7'!$D$15:$J$15)</f>
        <v>90</v>
      </c>
    </row>
    <row r="16" spans="1:4" ht="12" customHeight="1" x14ac:dyDescent="0.35">
      <c r="A16" s="15"/>
      <c r="B16" s="1">
        <v>276</v>
      </c>
      <c r="C16" s="16" t="s">
        <v>20</v>
      </c>
      <c r="D16" s="41">
        <f>SUM('7'!$D$16:$J$16)</f>
        <v>-220</v>
      </c>
    </row>
    <row r="17" spans="1:4" ht="12" customHeight="1" x14ac:dyDescent="0.35">
      <c r="A17" s="15"/>
      <c r="B17" s="1">
        <v>277</v>
      </c>
      <c r="C17" s="16" t="s">
        <v>76</v>
      </c>
      <c r="D17" s="41">
        <f>SUM('7'!$D$17:$J$17)</f>
        <v>-67.400000000000006</v>
      </c>
    </row>
    <row r="18" spans="1:4" ht="12" customHeight="1" x14ac:dyDescent="0.35">
      <c r="A18" s="15"/>
      <c r="B18" s="1">
        <v>280</v>
      </c>
      <c r="C18" s="16" t="s">
        <v>267</v>
      </c>
      <c r="D18" s="41">
        <f>SUM('7'!$D$18:$J$18)</f>
        <v>-18.579999999999998</v>
      </c>
    </row>
    <row r="19" spans="1:4" ht="12" customHeight="1" x14ac:dyDescent="0.35">
      <c r="A19" s="15"/>
      <c r="B19" s="1">
        <v>337</v>
      </c>
      <c r="C19" s="16" t="s">
        <v>21</v>
      </c>
      <c r="D19" s="41">
        <f>SUM('7'!$D$19:$J$19)</f>
        <v>220</v>
      </c>
    </row>
    <row r="20" spans="1:4" ht="12" customHeight="1" x14ac:dyDescent="0.35">
      <c r="A20" s="15"/>
      <c r="B20" s="1">
        <v>339</v>
      </c>
      <c r="C20" s="16" t="s">
        <v>78</v>
      </c>
      <c r="D20" s="41">
        <f>SUM('7'!$D$20:$J$20)</f>
        <v>1040.1400000000001</v>
      </c>
    </row>
    <row r="21" spans="1:4" ht="12" customHeight="1" x14ac:dyDescent="0.35">
      <c r="A21" s="15"/>
      <c r="B21" s="1">
        <v>343</v>
      </c>
      <c r="C21" s="16" t="s">
        <v>79</v>
      </c>
      <c r="D21" s="41">
        <f>SUM('7'!$D$21:$J$21)</f>
        <v>67.400000000000006</v>
      </c>
    </row>
    <row r="22" spans="1:4" ht="12" customHeight="1" x14ac:dyDescent="0.35">
      <c r="A22" s="15"/>
      <c r="B22" s="1">
        <v>345</v>
      </c>
      <c r="C22" s="16" t="s">
        <v>80</v>
      </c>
      <c r="D22" s="41">
        <f>SUM('7'!$D$22:$J$22)</f>
        <v>131.95000000000002</v>
      </c>
    </row>
    <row r="23" spans="1:4" ht="12" customHeight="1" x14ac:dyDescent="0.35">
      <c r="A23" s="15"/>
      <c r="B23" s="1">
        <v>352</v>
      </c>
      <c r="C23" s="16" t="s">
        <v>271</v>
      </c>
      <c r="D23" s="41">
        <f>SUM('7'!$D$23:$J$23)</f>
        <v>18.579999999999998</v>
      </c>
    </row>
    <row r="24" spans="1:4" ht="12" customHeight="1" x14ac:dyDescent="0.35">
      <c r="A24" s="15"/>
      <c r="B24" s="1">
        <v>353</v>
      </c>
      <c r="C24" s="16" t="s">
        <v>81</v>
      </c>
      <c r="D24" s="41">
        <f>SUM('7'!$D$24:$J$24)</f>
        <v>314.78000000000003</v>
      </c>
    </row>
    <row r="25" spans="1:4" ht="12" customHeight="1" x14ac:dyDescent="0.35">
      <c r="A25" s="15"/>
      <c r="B25" s="1">
        <v>355</v>
      </c>
      <c r="C25" s="16" t="s">
        <v>272</v>
      </c>
      <c r="D25" s="41">
        <f>SUM('7'!$D$25:$J$25)</f>
        <v>46.18</v>
      </c>
    </row>
    <row r="26" spans="1:4" ht="12" customHeight="1" x14ac:dyDescent="0.35">
      <c r="A26" s="15"/>
      <c r="B26" s="1">
        <v>356</v>
      </c>
      <c r="C26" s="16" t="s">
        <v>82</v>
      </c>
      <c r="D26" s="41">
        <f>SUM('7'!$D$26:$J$26)</f>
        <v>138.54</v>
      </c>
    </row>
    <row r="27" spans="1:4" ht="12" customHeight="1" x14ac:dyDescent="0.35">
      <c r="A27" s="15"/>
      <c r="B27" s="1">
        <v>357</v>
      </c>
      <c r="C27" s="16" t="s">
        <v>273</v>
      </c>
      <c r="D27" s="41">
        <f>SUM('7'!$D$27:$J$27)</f>
        <v>-46.18</v>
      </c>
    </row>
    <row r="28" spans="1:4" ht="12" customHeight="1" x14ac:dyDescent="0.35">
      <c r="A28" s="15"/>
      <c r="B28" s="1">
        <v>398</v>
      </c>
      <c r="C28" s="16" t="s">
        <v>22</v>
      </c>
      <c r="D28" s="41">
        <f>SUM('7'!$D$28:$J$28)</f>
        <v>786.58999999999992</v>
      </c>
    </row>
    <row r="29" spans="1:4" ht="12" customHeight="1" x14ac:dyDescent="0.35">
      <c r="A29" s="15"/>
      <c r="B29" s="1">
        <v>988</v>
      </c>
      <c r="C29" s="16" t="s">
        <v>83</v>
      </c>
      <c r="D29" s="41">
        <f>SUM('7'!$D$29:$J$29)</f>
        <v>46.01</v>
      </c>
    </row>
    <row r="30" spans="1:4" ht="12" customHeight="1" x14ac:dyDescent="0.35">
      <c r="A30" s="15"/>
      <c r="B30" s="1"/>
      <c r="C30" s="16"/>
      <c r="D30" s="41"/>
    </row>
    <row r="31" spans="1:4" ht="12" customHeight="1" x14ac:dyDescent="0.35">
      <c r="A31" s="15" t="s">
        <v>23</v>
      </c>
      <c r="B31" s="1"/>
      <c r="C31" s="16"/>
      <c r="D31" s="41">
        <f>SUM('7'!$D$31:$J$31)</f>
        <v>29840.41</v>
      </c>
    </row>
    <row r="32" spans="1:4" ht="12" customHeight="1" x14ac:dyDescent="0.35">
      <c r="A32" s="15"/>
      <c r="B32" s="1"/>
      <c r="C32" s="16"/>
      <c r="D32" s="41"/>
    </row>
    <row r="33" spans="1:4" ht="12" customHeight="1" x14ac:dyDescent="0.35">
      <c r="A33" s="15"/>
      <c r="B33" s="1">
        <v>789</v>
      </c>
      <c r="C33" s="16" t="s">
        <v>24</v>
      </c>
      <c r="D33" s="41">
        <f>SUM('7'!$D$33:$J$33)</f>
        <v>1977.5700000000002</v>
      </c>
    </row>
    <row r="34" spans="1:4" ht="12" customHeight="1" x14ac:dyDescent="0.35">
      <c r="A34" s="15"/>
      <c r="B34" s="1">
        <v>989</v>
      </c>
      <c r="C34" s="16" t="s">
        <v>85</v>
      </c>
      <c r="D34" s="41">
        <f>SUM('7'!$D$34:$J$34)</f>
        <v>46.01</v>
      </c>
    </row>
    <row r="35" spans="1:4" ht="12" customHeight="1" x14ac:dyDescent="0.35">
      <c r="A35" s="15"/>
      <c r="B35" s="1">
        <v>995</v>
      </c>
      <c r="C35" s="16" t="s">
        <v>25</v>
      </c>
      <c r="D35" s="41">
        <f>SUM('7'!$D$35:$J$35)</f>
        <v>1085.9700000000003</v>
      </c>
    </row>
    <row r="36" spans="1:4" ht="12" customHeight="1" x14ac:dyDescent="0.35">
      <c r="A36" s="15"/>
      <c r="B36" s="1">
        <v>996</v>
      </c>
      <c r="C36" s="16" t="s">
        <v>26</v>
      </c>
      <c r="D36" s="41">
        <f>SUM('7'!$D$36:$J$36)</f>
        <v>22.04</v>
      </c>
    </row>
    <row r="37" spans="1:4" ht="12" customHeight="1" x14ac:dyDescent="0.35">
      <c r="A37" s="15"/>
      <c r="B37" s="1">
        <v>997</v>
      </c>
      <c r="C37" s="16" t="s">
        <v>27</v>
      </c>
      <c r="D37" s="41">
        <f>SUM('7'!$D$37:$J$37)</f>
        <v>341.59999999999997</v>
      </c>
    </row>
    <row r="38" spans="1:4" ht="12" customHeight="1" x14ac:dyDescent="0.35">
      <c r="A38" s="15"/>
      <c r="B38" s="1">
        <v>999</v>
      </c>
      <c r="C38" s="16" t="s">
        <v>28</v>
      </c>
      <c r="D38" s="41">
        <f>SUM('7'!$D$38:$J$38)</f>
        <v>7375.1299999999992</v>
      </c>
    </row>
    <row r="39" spans="1:4" ht="12" customHeight="1" x14ac:dyDescent="0.35">
      <c r="A39" s="15"/>
      <c r="B39" s="1"/>
      <c r="C39" s="16"/>
      <c r="D39" s="41"/>
    </row>
    <row r="40" spans="1:4" ht="12" customHeight="1" x14ac:dyDescent="0.35">
      <c r="A40" s="15" t="s">
        <v>29</v>
      </c>
      <c r="B40" s="1"/>
      <c r="C40" s="16"/>
      <c r="D40" s="41">
        <f>SUM('7'!$D$40:$J$40)</f>
        <v>10848.32</v>
      </c>
    </row>
    <row r="41" spans="1:4" ht="12" customHeight="1" x14ac:dyDescent="0.35">
      <c r="A41" s="15"/>
      <c r="B41" s="1"/>
      <c r="C41" s="16"/>
      <c r="D41" s="41"/>
    </row>
    <row r="42" spans="1:4" ht="12" customHeight="1" x14ac:dyDescent="0.35">
      <c r="A42" s="15" t="s">
        <v>30</v>
      </c>
      <c r="B42" s="1"/>
      <c r="C42" s="16"/>
      <c r="D42" s="41">
        <f>SUM('7'!$D$42:$J$42)</f>
        <v>18992.09</v>
      </c>
    </row>
    <row r="43" spans="1:4" ht="12" customHeight="1" x14ac:dyDescent="0.35">
      <c r="A43" s="15" t="s">
        <v>31</v>
      </c>
      <c r="B43" s="1"/>
      <c r="C43" s="16"/>
      <c r="D43" s="41">
        <f>SUM('7'!$D$43:$J$43)</f>
        <v>0</v>
      </c>
    </row>
    <row r="44" spans="1:4" ht="12" customHeight="1" x14ac:dyDescent="0.35">
      <c r="A44" s="15" t="s">
        <v>32</v>
      </c>
      <c r="B44" s="1"/>
      <c r="C44" s="16"/>
      <c r="D44" s="41">
        <f>SUM('7'!$D$44:$J$44)</f>
        <v>7171.2599999999993</v>
      </c>
    </row>
    <row r="45" spans="1:4" ht="12" customHeight="1" x14ac:dyDescent="0.35">
      <c r="A45" s="15" t="s">
        <v>33</v>
      </c>
      <c r="B45" s="1"/>
      <c r="C45" s="16"/>
      <c r="D45" s="41">
        <f>SUM('7'!$D$45:$J$45)</f>
        <v>1449.6100000000001</v>
      </c>
    </row>
    <row r="46" spans="1:4" ht="12" customHeight="1" x14ac:dyDescent="0.35">
      <c r="A46" s="15" t="s">
        <v>34</v>
      </c>
      <c r="B46" s="1"/>
      <c r="C46" s="16"/>
      <c r="D46" s="41">
        <f>SUM('7'!$D$46:$J$46)</f>
        <v>8620.869999999999</v>
      </c>
    </row>
    <row r="47" spans="1:4" ht="12" customHeight="1" x14ac:dyDescent="0.35">
      <c r="A47" s="15" t="s">
        <v>35</v>
      </c>
      <c r="B47" s="1"/>
      <c r="C47" s="16"/>
      <c r="D47" s="41">
        <f>SUM('7'!$D$47:$J$47)</f>
        <v>0</v>
      </c>
    </row>
    <row r="48" spans="1:4" ht="12" customHeight="1" x14ac:dyDescent="0.35">
      <c r="A48" s="15" t="s">
        <v>36</v>
      </c>
      <c r="B48" s="1"/>
      <c r="C48" s="16"/>
      <c r="D48" s="41">
        <f>SUM('7'!$D$48:$J$48)</f>
        <v>0</v>
      </c>
    </row>
    <row r="49" spans="1:4" ht="12" customHeight="1" x14ac:dyDescent="0.35">
      <c r="A49" s="15" t="s">
        <v>37</v>
      </c>
      <c r="B49" s="1"/>
      <c r="C49" s="16"/>
      <c r="D49" s="41">
        <f>SUM('7'!$D$49:$J$49)</f>
        <v>37011.670000000006</v>
      </c>
    </row>
    <row r="50" spans="1:4" ht="12" customHeight="1" x14ac:dyDescent="0.35">
      <c r="A50" s="15" t="s">
        <v>38</v>
      </c>
      <c r="B50" s="1"/>
      <c r="C50" s="16"/>
      <c r="D50" s="41">
        <f>SUM('7'!$D$50:$J$50)</f>
        <v>22038.690000000002</v>
      </c>
    </row>
    <row r="51" spans="1:4" ht="12" customHeight="1" x14ac:dyDescent="0.35">
      <c r="A51" s="15" t="s">
        <v>39</v>
      </c>
      <c r="B51" s="1"/>
      <c r="C51" s="16"/>
      <c r="D51" s="41">
        <f>SUM('7'!$D$51:$J$51)</f>
        <v>22038.690000000002</v>
      </c>
    </row>
    <row r="52" spans="1:4" ht="12" customHeight="1" x14ac:dyDescent="0.35">
      <c r="A52" s="15" t="s">
        <v>40</v>
      </c>
      <c r="B52" s="1"/>
      <c r="C52" s="16"/>
      <c r="D52" s="41">
        <f>SUM('7'!$D$52:$J$52)</f>
        <v>27816.829999999998</v>
      </c>
    </row>
    <row r="53" spans="1:4" ht="12" customHeight="1" x14ac:dyDescent="0.35">
      <c r="A53" s="15" t="s">
        <v>41</v>
      </c>
      <c r="B53" s="1"/>
      <c r="C53" s="16"/>
      <c r="D53" s="41">
        <f>SUM('7'!$D$53:$J$53)</f>
        <v>184.72</v>
      </c>
    </row>
    <row r="54" spans="1:4" ht="12" customHeight="1" x14ac:dyDescent="0.35">
      <c r="A54" s="15" t="s">
        <v>42</v>
      </c>
      <c r="B54" s="1"/>
      <c r="C54" s="16"/>
      <c r="D54" s="41">
        <f>SUM('7'!$D$54:$J$54)</f>
        <v>0</v>
      </c>
    </row>
    <row r="55" spans="1:4" ht="12" customHeight="1" x14ac:dyDescent="0.35">
      <c r="A55" s="15" t="s">
        <v>43</v>
      </c>
      <c r="B55" s="1"/>
      <c r="C55" s="16"/>
      <c r="D55" s="40">
        <f>SUM('7'!$D$55:$J$55)</f>
        <v>0</v>
      </c>
    </row>
    <row r="56" spans="1:4" ht="12" customHeight="1" x14ac:dyDescent="0.35">
      <c r="A56" s="15" t="s">
        <v>44</v>
      </c>
      <c r="B56" s="1"/>
      <c r="C56" s="16"/>
      <c r="D56" s="41">
        <f>SUM('7'!$D$56:$J$56)</f>
        <v>0</v>
      </c>
    </row>
    <row r="57" spans="1:4" ht="12" customHeight="1" x14ac:dyDescent="0.35">
      <c r="A57" s="15" t="s">
        <v>45</v>
      </c>
      <c r="B57" s="1"/>
      <c r="C57" s="16"/>
      <c r="D57" s="41">
        <f>SUM('7'!$D$57:$J$57)</f>
        <v>915.2</v>
      </c>
    </row>
    <row r="58" spans="1:4" ht="12" customHeight="1" x14ac:dyDescent="0.35">
      <c r="A58" s="15" t="s">
        <v>46</v>
      </c>
      <c r="B58" s="1"/>
      <c r="C58" s="16"/>
      <c r="D58" s="41">
        <f>SUM('7'!$D$58:$J$58)</f>
        <v>0</v>
      </c>
    </row>
    <row r="59" spans="1:4" ht="12" customHeight="1" x14ac:dyDescent="0.35">
      <c r="A59" s="15" t="s">
        <v>47</v>
      </c>
      <c r="B59" s="1"/>
      <c r="C59" s="16"/>
      <c r="D59" s="41">
        <f>SUM('7'!$D$59:$J$59)</f>
        <v>0</v>
      </c>
    </row>
    <row r="60" spans="1:4" ht="12" customHeight="1" x14ac:dyDescent="0.35">
      <c r="A60" s="15" t="s">
        <v>48</v>
      </c>
      <c r="B60" s="1"/>
      <c r="C60" s="16"/>
      <c r="D60" s="41">
        <f>SUM('7'!$D$60:$J$60)</f>
        <v>180</v>
      </c>
    </row>
    <row r="61" spans="1:4" ht="12" customHeight="1" thickBot="1" x14ac:dyDescent="0.4">
      <c r="A61" s="17" t="s">
        <v>51</v>
      </c>
      <c r="B61" s="18"/>
      <c r="C61" s="19"/>
      <c r="D61" s="42">
        <v>6</v>
      </c>
    </row>
  </sheetData>
  <pageMargins left="0" right="0" top="0" bottom="0.39370078740157499" header="0" footer="0"/>
  <pageSetup paperSize="9" fitToWidth="0" orientation="landscape"/>
  <headerFooter>
    <oddHeader>&amp;CIMPUTACIÓN DE COSTES&amp;RFecha listado: 29/01/26</oddHeader>
    <oddFooter>&amp;RPág. &amp;P de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4A813-EEFD-4E14-BF71-211EA247BAEF}">
  <sheetPr>
    <pageSetUpPr fitToPage="1"/>
  </sheetPr>
  <dimension ref="A1:E5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baseColWidth="10" defaultColWidth="8.7265625" defaultRowHeight="12" customHeight="1" x14ac:dyDescent="0.35"/>
  <cols>
    <col min="1" max="1" width="1.7265625" customWidth="1"/>
    <col min="2" max="2" width="4.7265625" customWidth="1"/>
    <col min="3" max="3" width="56.7265625" customWidth="1"/>
    <col min="4" max="5" width="12.7265625" customWidth="1"/>
  </cols>
  <sheetData>
    <row r="1" spans="1:5" ht="12" customHeight="1" x14ac:dyDescent="0.35">
      <c r="A1" s="1"/>
      <c r="B1" s="2"/>
      <c r="C1" s="2"/>
    </row>
    <row r="2" spans="1:5" ht="12" customHeight="1" x14ac:dyDescent="0.35">
      <c r="A2" s="1" t="s">
        <v>0</v>
      </c>
      <c r="B2" s="2"/>
      <c r="C2" s="2"/>
      <c r="D2" t="s">
        <v>298</v>
      </c>
    </row>
    <row r="3" spans="1:5" ht="12" customHeight="1" thickBot="1" x14ac:dyDescent="0.4">
      <c r="A3" s="1" t="s">
        <v>1</v>
      </c>
      <c r="B3" s="2"/>
      <c r="C3" s="2"/>
    </row>
    <row r="4" spans="1:5" ht="13" customHeight="1" thickTop="1" thickBot="1" x14ac:dyDescent="0.4">
      <c r="A4" s="1" t="s">
        <v>2</v>
      </c>
      <c r="B4" s="2"/>
      <c r="C4" s="6"/>
      <c r="D4" s="20" t="s">
        <v>299</v>
      </c>
      <c r="E4" s="11" t="s">
        <v>300</v>
      </c>
    </row>
    <row r="5" spans="1:5" ht="12" customHeight="1" thickTop="1" x14ac:dyDescent="0.35">
      <c r="A5" s="1" t="s">
        <v>3</v>
      </c>
      <c r="B5" s="2"/>
      <c r="C5" s="6"/>
      <c r="D5" s="21" t="s">
        <v>301</v>
      </c>
      <c r="E5" s="3" t="s">
        <v>302</v>
      </c>
    </row>
    <row r="6" spans="1:5" ht="12" customHeight="1" x14ac:dyDescent="0.35">
      <c r="A6" s="1"/>
      <c r="B6" s="2"/>
      <c r="C6" s="6"/>
      <c r="D6" s="22" t="s">
        <v>303</v>
      </c>
      <c r="E6" s="6" t="s">
        <v>304</v>
      </c>
    </row>
    <row r="7" spans="1:5" ht="12" customHeight="1" thickBot="1" x14ac:dyDescent="0.4">
      <c r="A7" s="18"/>
      <c r="B7" s="4"/>
      <c r="C7" s="5"/>
      <c r="D7" s="23" t="s">
        <v>305</v>
      </c>
      <c r="E7" s="5" t="s">
        <v>306</v>
      </c>
    </row>
    <row r="8" spans="1:5" ht="12" customHeight="1" thickTop="1" x14ac:dyDescent="0.35">
      <c r="A8" s="12"/>
      <c r="B8" s="13"/>
      <c r="C8" s="14"/>
      <c r="D8" s="24"/>
      <c r="E8" s="7"/>
    </row>
    <row r="9" spans="1:5" ht="12" customHeight="1" x14ac:dyDescent="0.35">
      <c r="A9" s="15" t="s">
        <v>15</v>
      </c>
      <c r="B9" s="1"/>
      <c r="C9" s="16"/>
      <c r="D9" s="25"/>
      <c r="E9" s="8"/>
    </row>
    <row r="10" spans="1:5" ht="12" customHeight="1" x14ac:dyDescent="0.35">
      <c r="A10" s="15"/>
      <c r="B10" s="1"/>
      <c r="C10" s="16"/>
      <c r="D10" s="25"/>
      <c r="E10" s="8"/>
    </row>
    <row r="11" spans="1:5" ht="12" customHeight="1" x14ac:dyDescent="0.35">
      <c r="A11" s="15"/>
      <c r="B11" s="1">
        <v>1</v>
      </c>
      <c r="C11" s="16" t="s">
        <v>16</v>
      </c>
      <c r="D11" s="26"/>
      <c r="E11" s="9">
        <v>1100.76</v>
      </c>
    </row>
    <row r="12" spans="1:5" ht="12" customHeight="1" x14ac:dyDescent="0.35">
      <c r="A12" s="15"/>
      <c r="B12" s="1">
        <v>3</v>
      </c>
      <c r="C12" s="16" t="s">
        <v>17</v>
      </c>
      <c r="D12" s="26"/>
      <c r="E12" s="9">
        <v>770.82</v>
      </c>
    </row>
    <row r="13" spans="1:5" ht="12" customHeight="1" x14ac:dyDescent="0.35">
      <c r="A13" s="15"/>
      <c r="B13" s="1">
        <v>123</v>
      </c>
      <c r="C13" s="16" t="s">
        <v>18</v>
      </c>
      <c r="D13" s="26"/>
      <c r="E13" s="9">
        <v>183.46</v>
      </c>
    </row>
    <row r="14" spans="1:5" ht="12" customHeight="1" x14ac:dyDescent="0.35">
      <c r="A14" s="15"/>
      <c r="B14" s="1">
        <v>181</v>
      </c>
      <c r="C14" s="16" t="s">
        <v>75</v>
      </c>
      <c r="D14" s="26"/>
      <c r="E14" s="9">
        <v>1000</v>
      </c>
    </row>
    <row r="15" spans="1:5" ht="12" customHeight="1" x14ac:dyDescent="0.35">
      <c r="A15" s="15"/>
      <c r="B15" s="1">
        <v>275</v>
      </c>
      <c r="C15" s="16" t="s">
        <v>19</v>
      </c>
      <c r="D15" s="26">
        <v>15</v>
      </c>
      <c r="E15" s="9">
        <v>15</v>
      </c>
    </row>
    <row r="16" spans="1:5" ht="12" customHeight="1" x14ac:dyDescent="0.35">
      <c r="A16" s="15"/>
      <c r="B16" s="1">
        <v>339</v>
      </c>
      <c r="C16" s="16" t="s">
        <v>78</v>
      </c>
      <c r="D16" s="26"/>
      <c r="E16" s="9">
        <v>177.8</v>
      </c>
    </row>
    <row r="17" spans="1:5" ht="12" customHeight="1" x14ac:dyDescent="0.35">
      <c r="A17" s="15"/>
      <c r="B17" s="1">
        <v>345</v>
      </c>
      <c r="C17" s="16" t="s">
        <v>80</v>
      </c>
      <c r="D17" s="26"/>
      <c r="E17" s="9">
        <v>116.87</v>
      </c>
    </row>
    <row r="18" spans="1:5" ht="12" customHeight="1" x14ac:dyDescent="0.35">
      <c r="A18" s="15"/>
      <c r="B18" s="1">
        <v>353</v>
      </c>
      <c r="C18" s="16" t="s">
        <v>81</v>
      </c>
      <c r="D18" s="26">
        <v>125.01</v>
      </c>
      <c r="E18" s="9"/>
    </row>
    <row r="19" spans="1:5" ht="12" customHeight="1" x14ac:dyDescent="0.35">
      <c r="A19" s="15"/>
      <c r="B19" s="1">
        <v>355</v>
      </c>
      <c r="C19" s="16" t="s">
        <v>272</v>
      </c>
      <c r="D19" s="26">
        <v>9.39</v>
      </c>
      <c r="E19" s="9"/>
    </row>
    <row r="20" spans="1:5" ht="12" customHeight="1" x14ac:dyDescent="0.35">
      <c r="A20" s="15"/>
      <c r="B20" s="1">
        <v>356</v>
      </c>
      <c r="C20" s="16" t="s">
        <v>82</v>
      </c>
      <c r="D20" s="26">
        <v>59.88</v>
      </c>
      <c r="E20" s="9"/>
    </row>
    <row r="21" spans="1:5" ht="12" customHeight="1" x14ac:dyDescent="0.35">
      <c r="A21" s="15"/>
      <c r="B21" s="1">
        <v>357</v>
      </c>
      <c r="C21" s="16" t="s">
        <v>273</v>
      </c>
      <c r="D21" s="26">
        <v>-9.39</v>
      </c>
      <c r="E21" s="9"/>
    </row>
    <row r="22" spans="1:5" ht="12" customHeight="1" x14ac:dyDescent="0.35">
      <c r="A22" s="15"/>
      <c r="B22" s="1">
        <v>398</v>
      </c>
      <c r="C22" s="16" t="s">
        <v>22</v>
      </c>
      <c r="D22" s="26"/>
      <c r="E22" s="9">
        <v>108.38</v>
      </c>
    </row>
    <row r="23" spans="1:5" ht="12" customHeight="1" x14ac:dyDescent="0.35">
      <c r="A23" s="15"/>
      <c r="B23" s="1">
        <v>988</v>
      </c>
      <c r="C23" s="16" t="s">
        <v>83</v>
      </c>
      <c r="D23" s="26">
        <v>17.04</v>
      </c>
      <c r="E23" s="9"/>
    </row>
    <row r="24" spans="1:5" ht="12" customHeight="1" x14ac:dyDescent="0.35">
      <c r="A24" s="15"/>
      <c r="B24" s="1"/>
      <c r="C24" s="16"/>
      <c r="D24" s="26"/>
      <c r="E24" s="9"/>
    </row>
    <row r="25" spans="1:5" ht="12" customHeight="1" x14ac:dyDescent="0.35">
      <c r="A25" s="15" t="s">
        <v>23</v>
      </c>
      <c r="B25" s="1"/>
      <c r="C25" s="16"/>
      <c r="D25" s="26">
        <f>SUM(D11:D24)</f>
        <v>216.92999999999998</v>
      </c>
      <c r="E25" s="9">
        <f>SUM(E11:E24)</f>
        <v>3473.09</v>
      </c>
    </row>
    <row r="26" spans="1:5" ht="12" customHeight="1" x14ac:dyDescent="0.35">
      <c r="A26" s="15"/>
      <c r="B26" s="1"/>
      <c r="C26" s="16"/>
      <c r="D26" s="26"/>
      <c r="E26" s="9"/>
    </row>
    <row r="27" spans="1:5" ht="12" customHeight="1" x14ac:dyDescent="0.35">
      <c r="A27" s="15"/>
      <c r="B27" s="1">
        <v>789</v>
      </c>
      <c r="C27" s="16" t="s">
        <v>24</v>
      </c>
      <c r="D27" s="26">
        <v>194.28</v>
      </c>
      <c r="E27" s="9">
        <v>294.67</v>
      </c>
    </row>
    <row r="28" spans="1:5" ht="12" customHeight="1" x14ac:dyDescent="0.35">
      <c r="A28" s="15"/>
      <c r="B28" s="1">
        <v>989</v>
      </c>
      <c r="C28" s="16" t="s">
        <v>85</v>
      </c>
      <c r="D28" s="26">
        <v>17.04</v>
      </c>
      <c r="E28" s="9"/>
    </row>
    <row r="29" spans="1:5" ht="12" customHeight="1" x14ac:dyDescent="0.35">
      <c r="A29" s="15"/>
      <c r="B29" s="1">
        <v>995</v>
      </c>
      <c r="C29" s="16" t="s">
        <v>25</v>
      </c>
      <c r="D29" s="26"/>
      <c r="E29" s="9">
        <v>168.45</v>
      </c>
    </row>
    <row r="30" spans="1:5" ht="12" customHeight="1" x14ac:dyDescent="0.35">
      <c r="A30" s="15"/>
      <c r="B30" s="1">
        <v>996</v>
      </c>
      <c r="C30" s="16" t="s">
        <v>26</v>
      </c>
      <c r="D30" s="26"/>
      <c r="E30" s="9">
        <v>3.47</v>
      </c>
    </row>
    <row r="31" spans="1:5" ht="12" customHeight="1" x14ac:dyDescent="0.35">
      <c r="A31" s="15"/>
      <c r="B31" s="1">
        <v>997</v>
      </c>
      <c r="C31" s="16" t="s">
        <v>27</v>
      </c>
      <c r="D31" s="26"/>
      <c r="E31" s="9">
        <v>53.83</v>
      </c>
    </row>
    <row r="32" spans="1:5" ht="12" customHeight="1" x14ac:dyDescent="0.35">
      <c r="A32" s="15"/>
      <c r="B32" s="1">
        <v>999</v>
      </c>
      <c r="C32" s="16" t="s">
        <v>28</v>
      </c>
      <c r="D32" s="26">
        <v>1.38</v>
      </c>
      <c r="E32" s="9">
        <v>491.7</v>
      </c>
    </row>
    <row r="33" spans="1:5" ht="12" customHeight="1" x14ac:dyDescent="0.35">
      <c r="A33" s="15"/>
      <c r="B33" s="1"/>
      <c r="C33" s="16"/>
      <c r="D33" s="26"/>
      <c r="E33" s="9"/>
    </row>
    <row r="34" spans="1:5" ht="12" customHeight="1" x14ac:dyDescent="0.35">
      <c r="A34" s="15" t="s">
        <v>29</v>
      </c>
      <c r="B34" s="1"/>
      <c r="C34" s="16"/>
      <c r="D34" s="26">
        <f>SUM(D26:D33)</f>
        <v>212.7</v>
      </c>
      <c r="E34" s="9">
        <f>SUM(E26:E33)</f>
        <v>1012.1200000000001</v>
      </c>
    </row>
    <row r="35" spans="1:5" ht="12" customHeight="1" x14ac:dyDescent="0.35">
      <c r="A35" s="15"/>
      <c r="B35" s="1"/>
      <c r="C35" s="16"/>
      <c r="D35" s="26"/>
      <c r="E35" s="9"/>
    </row>
    <row r="36" spans="1:5" ht="12" customHeight="1" x14ac:dyDescent="0.35">
      <c r="A36" s="15" t="s">
        <v>30</v>
      </c>
      <c r="B36" s="1"/>
      <c r="C36" s="16"/>
      <c r="D36" s="26">
        <f>(D25-D34)</f>
        <v>4.2299999999999898</v>
      </c>
      <c r="E36" s="9">
        <f>(E25-E34)</f>
        <v>2460.9700000000003</v>
      </c>
    </row>
    <row r="37" spans="1:5" ht="12" customHeight="1" x14ac:dyDescent="0.35">
      <c r="A37" s="15" t="s">
        <v>31</v>
      </c>
      <c r="B37" s="1"/>
      <c r="C37" s="16"/>
      <c r="D37" s="26">
        <v>0</v>
      </c>
      <c r="E37" s="9">
        <v>0</v>
      </c>
    </row>
    <row r="38" spans="1:5" ht="12" customHeight="1" x14ac:dyDescent="0.35">
      <c r="A38" s="15" t="s">
        <v>32</v>
      </c>
      <c r="B38" s="1"/>
      <c r="C38" s="16"/>
      <c r="D38" s="26">
        <v>1578.41</v>
      </c>
      <c r="E38" s="9">
        <v>1116.5899999999999</v>
      </c>
    </row>
    <row r="39" spans="1:5" ht="12" customHeight="1" x14ac:dyDescent="0.35">
      <c r="A39" s="15" t="s">
        <v>33</v>
      </c>
      <c r="B39" s="1"/>
      <c r="C39" s="16"/>
      <c r="D39" s="26">
        <v>0</v>
      </c>
      <c r="E39" s="9">
        <v>225.75</v>
      </c>
    </row>
    <row r="40" spans="1:5" ht="12" customHeight="1" x14ac:dyDescent="0.35">
      <c r="A40" s="15" t="s">
        <v>34</v>
      </c>
      <c r="B40" s="1"/>
      <c r="C40" s="16"/>
      <c r="D40" s="26">
        <v>1578.41</v>
      </c>
      <c r="E40" s="9">
        <v>1342.34</v>
      </c>
    </row>
    <row r="41" spans="1:5" ht="12" customHeight="1" x14ac:dyDescent="0.35">
      <c r="A41" s="15" t="s">
        <v>35</v>
      </c>
      <c r="B41" s="1"/>
      <c r="C41" s="16"/>
      <c r="D41" s="26">
        <v>0</v>
      </c>
      <c r="E41" s="9">
        <v>0</v>
      </c>
    </row>
    <row r="42" spans="1:5" ht="12" customHeight="1" x14ac:dyDescent="0.35">
      <c r="A42" s="15" t="s">
        <v>36</v>
      </c>
      <c r="B42" s="1"/>
      <c r="C42" s="16"/>
      <c r="D42" s="26">
        <v>0</v>
      </c>
      <c r="E42" s="9">
        <v>0</v>
      </c>
    </row>
    <row r="43" spans="1:5" ht="12" customHeight="1" x14ac:dyDescent="0.35">
      <c r="A43" s="15" t="s">
        <v>37</v>
      </c>
      <c r="B43" s="1"/>
      <c r="C43" s="16"/>
      <c r="D43" s="26">
        <f>D25+D38</f>
        <v>1795.3400000000001</v>
      </c>
      <c r="E43" s="9">
        <f>E25+E38</f>
        <v>4589.68</v>
      </c>
    </row>
    <row r="44" spans="1:5" ht="12" customHeight="1" x14ac:dyDescent="0.35">
      <c r="A44" s="15" t="s">
        <v>38</v>
      </c>
      <c r="B44" s="1"/>
      <c r="C44" s="16"/>
      <c r="D44" s="26">
        <v>4909.5</v>
      </c>
      <c r="E44" s="9">
        <v>3473.09</v>
      </c>
    </row>
    <row r="45" spans="1:5" ht="12" customHeight="1" x14ac:dyDescent="0.35">
      <c r="A45" s="15" t="s">
        <v>39</v>
      </c>
      <c r="B45" s="1"/>
      <c r="C45" s="16"/>
      <c r="D45" s="26">
        <v>4909.5</v>
      </c>
      <c r="E45" s="9">
        <v>3473.09</v>
      </c>
    </row>
    <row r="46" spans="1:5" ht="12" customHeight="1" x14ac:dyDescent="0.35">
      <c r="A46" s="15" t="s">
        <v>40</v>
      </c>
      <c r="B46" s="1"/>
      <c r="C46" s="16"/>
      <c r="D46" s="26">
        <v>5.61</v>
      </c>
      <c r="E46" s="9">
        <v>3178.42</v>
      </c>
    </row>
    <row r="47" spans="1:5" ht="12" customHeight="1" x14ac:dyDescent="0.35">
      <c r="A47" s="15" t="s">
        <v>41</v>
      </c>
      <c r="B47" s="1"/>
      <c r="C47" s="16"/>
      <c r="D47" s="26">
        <v>69.27</v>
      </c>
      <c r="E47" s="9">
        <v>0</v>
      </c>
    </row>
    <row r="48" spans="1:5" ht="12" customHeight="1" x14ac:dyDescent="0.35">
      <c r="A48" s="15" t="s">
        <v>42</v>
      </c>
      <c r="B48" s="1"/>
      <c r="C48" s="16"/>
      <c r="D48" s="26">
        <v>0</v>
      </c>
      <c r="E48" s="9">
        <v>0</v>
      </c>
    </row>
    <row r="49" spans="1:5" ht="12" customHeight="1" x14ac:dyDescent="0.35">
      <c r="A49" s="15" t="s">
        <v>43</v>
      </c>
      <c r="B49" s="1"/>
      <c r="C49" s="16"/>
      <c r="D49" s="25">
        <v>0</v>
      </c>
      <c r="E49" s="8">
        <v>0</v>
      </c>
    </row>
    <row r="50" spans="1:5" ht="12" customHeight="1" x14ac:dyDescent="0.35">
      <c r="A50" s="15" t="s">
        <v>44</v>
      </c>
      <c r="B50" s="1"/>
      <c r="C50" s="16"/>
      <c r="D50" s="26">
        <v>0</v>
      </c>
      <c r="E50" s="9">
        <v>0</v>
      </c>
    </row>
    <row r="51" spans="1:5" ht="12" customHeight="1" x14ac:dyDescent="0.35">
      <c r="A51" s="15" t="s">
        <v>45</v>
      </c>
      <c r="B51" s="1"/>
      <c r="C51" s="16"/>
      <c r="D51" s="26">
        <v>0</v>
      </c>
      <c r="E51" s="9">
        <v>125.87</v>
      </c>
    </row>
    <row r="52" spans="1:5" ht="12" customHeight="1" x14ac:dyDescent="0.35">
      <c r="A52" s="15" t="s">
        <v>46</v>
      </c>
      <c r="B52" s="1"/>
      <c r="C52" s="16"/>
      <c r="D52" s="26">
        <v>0</v>
      </c>
      <c r="E52" s="9">
        <v>0</v>
      </c>
    </row>
    <row r="53" spans="1:5" ht="12" customHeight="1" x14ac:dyDescent="0.35">
      <c r="A53" s="15" t="s">
        <v>47</v>
      </c>
      <c r="B53" s="1"/>
      <c r="C53" s="16"/>
      <c r="D53" s="26">
        <v>0</v>
      </c>
      <c r="E53" s="9">
        <v>0</v>
      </c>
    </row>
    <row r="54" spans="1:5" ht="12" customHeight="1" thickBot="1" x14ac:dyDescent="0.4">
      <c r="A54" s="17" t="s">
        <v>48</v>
      </c>
      <c r="B54" s="18"/>
      <c r="C54" s="19"/>
      <c r="D54" s="27">
        <v>30</v>
      </c>
      <c r="E54" s="10">
        <v>30</v>
      </c>
    </row>
  </sheetData>
  <pageMargins left="0" right="0" top="0" bottom="0.39370078740157499" header="0" footer="0"/>
  <pageSetup paperSize="9" fitToWidth="0" orientation="landscape"/>
  <headerFooter>
    <oddHeader>&amp;CIMPUTACIÓN DE COSTES&amp;RFecha listado: 29/01/26</oddHeader>
    <oddFooter>&amp;RPág. &amp;P de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BE47E-0791-4C16-8D54-8AEDBDED4E10}">
  <sheetPr>
    <pageSetUpPr fitToPage="1"/>
  </sheetPr>
  <dimension ref="A1:D55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baseColWidth="10" defaultColWidth="8.7265625" defaultRowHeight="12" customHeight="1" x14ac:dyDescent="0.35"/>
  <cols>
    <col min="1" max="1" width="1.7265625" customWidth="1"/>
    <col min="2" max="2" width="4.7265625" customWidth="1"/>
    <col min="3" max="3" width="56.7265625" customWidth="1"/>
    <col min="4" max="4" width="24.7265625" customWidth="1"/>
  </cols>
  <sheetData>
    <row r="1" spans="1:4" ht="12" customHeight="1" x14ac:dyDescent="0.35">
      <c r="A1" s="1"/>
      <c r="B1" s="2"/>
      <c r="C1" s="2"/>
    </row>
    <row r="2" spans="1:4" ht="12" customHeight="1" x14ac:dyDescent="0.35">
      <c r="A2" s="1" t="s">
        <v>0</v>
      </c>
      <c r="B2" s="2"/>
      <c r="C2" s="2"/>
      <c r="D2" t="s">
        <v>298</v>
      </c>
    </row>
    <row r="3" spans="1:4" ht="12" customHeight="1" thickBot="1" x14ac:dyDescent="0.4">
      <c r="A3" s="1" t="s">
        <v>1</v>
      </c>
      <c r="B3" s="2"/>
      <c r="C3" s="2"/>
    </row>
    <row r="4" spans="1:4" ht="13" customHeight="1" thickTop="1" thickBot="1" x14ac:dyDescent="0.4">
      <c r="A4" s="1" t="s">
        <v>2</v>
      </c>
      <c r="B4" s="2"/>
      <c r="C4" s="6"/>
      <c r="D4" s="43" t="s">
        <v>49</v>
      </c>
    </row>
    <row r="5" spans="1:4" ht="12" customHeight="1" thickTop="1" x14ac:dyDescent="0.35">
      <c r="A5" s="1" t="s">
        <v>3</v>
      </c>
      <c r="B5" s="2"/>
      <c r="C5" s="6"/>
      <c r="D5" s="36" t="s">
        <v>307</v>
      </c>
    </row>
    <row r="6" spans="1:4" ht="12" customHeight="1" x14ac:dyDescent="0.35">
      <c r="A6" s="1"/>
      <c r="B6" s="2"/>
      <c r="C6" s="6"/>
      <c r="D6" s="37"/>
    </row>
    <row r="7" spans="1:4" ht="12" customHeight="1" thickBot="1" x14ac:dyDescent="0.4">
      <c r="A7" s="18"/>
      <c r="B7" s="4"/>
      <c r="C7" s="5"/>
      <c r="D7" s="38"/>
    </row>
    <row r="8" spans="1:4" ht="12" customHeight="1" thickTop="1" x14ac:dyDescent="0.35">
      <c r="A8" s="12"/>
      <c r="B8" s="13"/>
      <c r="C8" s="14"/>
      <c r="D8" s="39"/>
    </row>
    <row r="9" spans="1:4" ht="12" customHeight="1" x14ac:dyDescent="0.35">
      <c r="A9" s="15" t="s">
        <v>15</v>
      </c>
      <c r="B9" s="1"/>
      <c r="C9" s="16"/>
      <c r="D9" s="40"/>
    </row>
    <row r="10" spans="1:4" ht="12" customHeight="1" x14ac:dyDescent="0.35">
      <c r="A10" s="15"/>
      <c r="B10" s="1"/>
      <c r="C10" s="16"/>
      <c r="D10" s="40"/>
    </row>
    <row r="11" spans="1:4" ht="12" customHeight="1" x14ac:dyDescent="0.35">
      <c r="A11" s="15"/>
      <c r="B11" s="1">
        <v>1</v>
      </c>
      <c r="C11" s="16" t="s">
        <v>16</v>
      </c>
      <c r="D11" s="41">
        <f>SUM('9'!$D$11:$F$11)</f>
        <v>1100.76</v>
      </c>
    </row>
    <row r="12" spans="1:4" ht="12" customHeight="1" x14ac:dyDescent="0.35">
      <c r="A12" s="15"/>
      <c r="B12" s="1">
        <v>3</v>
      </c>
      <c r="C12" s="16" t="s">
        <v>17</v>
      </c>
      <c r="D12" s="41">
        <f>SUM('9'!$D$12:$F$12)</f>
        <v>770.82</v>
      </c>
    </row>
    <row r="13" spans="1:4" ht="12" customHeight="1" x14ac:dyDescent="0.35">
      <c r="A13" s="15"/>
      <c r="B13" s="1">
        <v>123</v>
      </c>
      <c r="C13" s="16" t="s">
        <v>18</v>
      </c>
      <c r="D13" s="41">
        <f>SUM('9'!$D$13:$F$13)</f>
        <v>183.46</v>
      </c>
    </row>
    <row r="14" spans="1:4" ht="12" customHeight="1" x14ac:dyDescent="0.35">
      <c r="A14" s="15"/>
      <c r="B14" s="1">
        <v>181</v>
      </c>
      <c r="C14" s="16" t="s">
        <v>75</v>
      </c>
      <c r="D14" s="41">
        <f>SUM('9'!$D$14:$F$14)</f>
        <v>1000</v>
      </c>
    </row>
    <row r="15" spans="1:4" ht="12" customHeight="1" x14ac:dyDescent="0.35">
      <c r="A15" s="15"/>
      <c r="B15" s="1">
        <v>275</v>
      </c>
      <c r="C15" s="16" t="s">
        <v>19</v>
      </c>
      <c r="D15" s="41">
        <f>SUM('9'!$D$15:$F$15)</f>
        <v>30</v>
      </c>
    </row>
    <row r="16" spans="1:4" ht="12" customHeight="1" x14ac:dyDescent="0.35">
      <c r="A16" s="15"/>
      <c r="B16" s="1">
        <v>339</v>
      </c>
      <c r="C16" s="16" t="s">
        <v>78</v>
      </c>
      <c r="D16" s="41">
        <f>SUM('9'!$D$16:$F$16)</f>
        <v>177.8</v>
      </c>
    </row>
    <row r="17" spans="1:4" ht="12" customHeight="1" x14ac:dyDescent="0.35">
      <c r="A17" s="15"/>
      <c r="B17" s="1">
        <v>345</v>
      </c>
      <c r="C17" s="16" t="s">
        <v>80</v>
      </c>
      <c r="D17" s="41">
        <f>SUM('9'!$D$17:$F$17)</f>
        <v>116.87</v>
      </c>
    </row>
    <row r="18" spans="1:4" ht="12" customHeight="1" x14ac:dyDescent="0.35">
      <c r="A18" s="15"/>
      <c r="B18" s="1">
        <v>353</v>
      </c>
      <c r="C18" s="16" t="s">
        <v>81</v>
      </c>
      <c r="D18" s="41">
        <f>SUM('9'!$D$18:$F$18)</f>
        <v>125.01</v>
      </c>
    </row>
    <row r="19" spans="1:4" ht="12" customHeight="1" x14ac:dyDescent="0.35">
      <c r="A19" s="15"/>
      <c r="B19" s="1">
        <v>355</v>
      </c>
      <c r="C19" s="16" t="s">
        <v>272</v>
      </c>
      <c r="D19" s="41">
        <f>SUM('9'!$D$19:$F$19)</f>
        <v>9.39</v>
      </c>
    </row>
    <row r="20" spans="1:4" ht="12" customHeight="1" x14ac:dyDescent="0.35">
      <c r="A20" s="15"/>
      <c r="B20" s="1">
        <v>356</v>
      </c>
      <c r="C20" s="16" t="s">
        <v>82</v>
      </c>
      <c r="D20" s="41">
        <f>SUM('9'!$D$20:$F$20)</f>
        <v>59.88</v>
      </c>
    </row>
    <row r="21" spans="1:4" ht="12" customHeight="1" x14ac:dyDescent="0.35">
      <c r="A21" s="15"/>
      <c r="B21" s="1">
        <v>357</v>
      </c>
      <c r="C21" s="16" t="s">
        <v>273</v>
      </c>
      <c r="D21" s="41">
        <f>SUM('9'!$D$21:$F$21)</f>
        <v>-9.39</v>
      </c>
    </row>
    <row r="22" spans="1:4" ht="12" customHeight="1" x14ac:dyDescent="0.35">
      <c r="A22" s="15"/>
      <c r="B22" s="1">
        <v>398</v>
      </c>
      <c r="C22" s="16" t="s">
        <v>22</v>
      </c>
      <c r="D22" s="41">
        <f>SUM('9'!$D$22:$F$22)</f>
        <v>108.38</v>
      </c>
    </row>
    <row r="23" spans="1:4" ht="12" customHeight="1" x14ac:dyDescent="0.35">
      <c r="A23" s="15"/>
      <c r="B23" s="1">
        <v>988</v>
      </c>
      <c r="C23" s="16" t="s">
        <v>83</v>
      </c>
      <c r="D23" s="41">
        <f>SUM('9'!$D$23:$F$23)</f>
        <v>17.04</v>
      </c>
    </row>
    <row r="24" spans="1:4" ht="12" customHeight="1" x14ac:dyDescent="0.35">
      <c r="A24" s="15"/>
      <c r="B24" s="1"/>
      <c r="C24" s="16"/>
      <c r="D24" s="41"/>
    </row>
    <row r="25" spans="1:4" ht="12" customHeight="1" x14ac:dyDescent="0.35">
      <c r="A25" s="15" t="s">
        <v>23</v>
      </c>
      <c r="B25" s="1"/>
      <c r="C25" s="16"/>
      <c r="D25" s="41">
        <f>SUM('9'!$D$25:$F$25)</f>
        <v>3690.02</v>
      </c>
    </row>
    <row r="26" spans="1:4" ht="12" customHeight="1" x14ac:dyDescent="0.35">
      <c r="A26" s="15"/>
      <c r="B26" s="1"/>
      <c r="C26" s="16"/>
      <c r="D26" s="41"/>
    </row>
    <row r="27" spans="1:4" ht="12" customHeight="1" x14ac:dyDescent="0.35">
      <c r="A27" s="15"/>
      <c r="B27" s="1">
        <v>789</v>
      </c>
      <c r="C27" s="16" t="s">
        <v>24</v>
      </c>
      <c r="D27" s="41">
        <f>SUM('9'!$D$27:$F$27)</f>
        <v>488.95000000000005</v>
      </c>
    </row>
    <row r="28" spans="1:4" ht="12" customHeight="1" x14ac:dyDescent="0.35">
      <c r="A28" s="15"/>
      <c r="B28" s="1">
        <v>989</v>
      </c>
      <c r="C28" s="16" t="s">
        <v>85</v>
      </c>
      <c r="D28" s="41">
        <f>SUM('9'!$D$28:$F$28)</f>
        <v>17.04</v>
      </c>
    </row>
    <row r="29" spans="1:4" ht="12" customHeight="1" x14ac:dyDescent="0.35">
      <c r="A29" s="15"/>
      <c r="B29" s="1">
        <v>995</v>
      </c>
      <c r="C29" s="16" t="s">
        <v>25</v>
      </c>
      <c r="D29" s="41">
        <f>SUM('9'!$D$29:$F$29)</f>
        <v>168.45</v>
      </c>
    </row>
    <row r="30" spans="1:4" ht="12" customHeight="1" x14ac:dyDescent="0.35">
      <c r="A30" s="15"/>
      <c r="B30" s="1">
        <v>996</v>
      </c>
      <c r="C30" s="16" t="s">
        <v>26</v>
      </c>
      <c r="D30" s="41">
        <f>SUM('9'!$D$30:$F$30)</f>
        <v>3.47</v>
      </c>
    </row>
    <row r="31" spans="1:4" ht="12" customHeight="1" x14ac:dyDescent="0.35">
      <c r="A31" s="15"/>
      <c r="B31" s="1">
        <v>997</v>
      </c>
      <c r="C31" s="16" t="s">
        <v>27</v>
      </c>
      <c r="D31" s="41">
        <f>SUM('9'!$D$31:$F$31)</f>
        <v>53.83</v>
      </c>
    </row>
    <row r="32" spans="1:4" ht="12" customHeight="1" x14ac:dyDescent="0.35">
      <c r="A32" s="15"/>
      <c r="B32" s="1">
        <v>999</v>
      </c>
      <c r="C32" s="16" t="s">
        <v>28</v>
      </c>
      <c r="D32" s="41">
        <f>SUM('9'!$D$32:$F$32)</f>
        <v>493.08</v>
      </c>
    </row>
    <row r="33" spans="1:4" ht="12" customHeight="1" x14ac:dyDescent="0.35">
      <c r="A33" s="15"/>
      <c r="B33" s="1"/>
      <c r="C33" s="16"/>
      <c r="D33" s="41"/>
    </row>
    <row r="34" spans="1:4" ht="12" customHeight="1" x14ac:dyDescent="0.35">
      <c r="A34" s="15" t="s">
        <v>29</v>
      </c>
      <c r="B34" s="1"/>
      <c r="C34" s="16"/>
      <c r="D34" s="41">
        <f>SUM('9'!$D$34:$F$34)</f>
        <v>1224.8200000000002</v>
      </c>
    </row>
    <row r="35" spans="1:4" ht="12" customHeight="1" x14ac:dyDescent="0.35">
      <c r="A35" s="15"/>
      <c r="B35" s="1"/>
      <c r="C35" s="16"/>
      <c r="D35" s="41"/>
    </row>
    <row r="36" spans="1:4" ht="12" customHeight="1" x14ac:dyDescent="0.35">
      <c r="A36" s="15" t="s">
        <v>30</v>
      </c>
      <c r="B36" s="1"/>
      <c r="C36" s="16"/>
      <c r="D36" s="41">
        <f>SUM('9'!$D$36:$F$36)</f>
        <v>2465.2000000000003</v>
      </c>
    </row>
    <row r="37" spans="1:4" ht="12" customHeight="1" x14ac:dyDescent="0.35">
      <c r="A37" s="15" t="s">
        <v>31</v>
      </c>
      <c r="B37" s="1"/>
      <c r="C37" s="16"/>
      <c r="D37" s="41">
        <f>SUM('9'!$D$37:$F$37)</f>
        <v>0</v>
      </c>
    </row>
    <row r="38" spans="1:4" ht="12" customHeight="1" x14ac:dyDescent="0.35">
      <c r="A38" s="15" t="s">
        <v>32</v>
      </c>
      <c r="B38" s="1"/>
      <c r="C38" s="16"/>
      <c r="D38" s="41">
        <f>SUM('9'!$D$38:$F$38)</f>
        <v>2695</v>
      </c>
    </row>
    <row r="39" spans="1:4" ht="12" customHeight="1" x14ac:dyDescent="0.35">
      <c r="A39" s="15" t="s">
        <v>33</v>
      </c>
      <c r="B39" s="1"/>
      <c r="C39" s="16"/>
      <c r="D39" s="41">
        <f>SUM('9'!$D$39:$F$39)</f>
        <v>225.75</v>
      </c>
    </row>
    <row r="40" spans="1:4" ht="12" customHeight="1" x14ac:dyDescent="0.35">
      <c r="A40" s="15" t="s">
        <v>34</v>
      </c>
      <c r="B40" s="1"/>
      <c r="C40" s="16"/>
      <c r="D40" s="41">
        <f>SUM('9'!$D$40:$F$40)</f>
        <v>2920.75</v>
      </c>
    </row>
    <row r="41" spans="1:4" ht="12" customHeight="1" x14ac:dyDescent="0.35">
      <c r="A41" s="15" t="s">
        <v>35</v>
      </c>
      <c r="B41" s="1"/>
      <c r="C41" s="16"/>
      <c r="D41" s="41">
        <f>SUM('9'!$D$41:$F$41)</f>
        <v>0</v>
      </c>
    </row>
    <row r="42" spans="1:4" ht="12" customHeight="1" x14ac:dyDescent="0.35">
      <c r="A42" s="15" t="s">
        <v>36</v>
      </c>
      <c r="B42" s="1"/>
      <c r="C42" s="16"/>
      <c r="D42" s="41">
        <f>SUM('9'!$D$42:$F$42)</f>
        <v>0</v>
      </c>
    </row>
    <row r="43" spans="1:4" ht="12" customHeight="1" x14ac:dyDescent="0.35">
      <c r="A43" s="15" t="s">
        <v>37</v>
      </c>
      <c r="B43" s="1"/>
      <c r="C43" s="16"/>
      <c r="D43" s="41">
        <f>SUM('9'!$D$43:$F$43)</f>
        <v>6385.02</v>
      </c>
    </row>
    <row r="44" spans="1:4" ht="12" customHeight="1" x14ac:dyDescent="0.35">
      <c r="A44" s="15" t="s">
        <v>38</v>
      </c>
      <c r="B44" s="1"/>
      <c r="C44" s="16"/>
      <c r="D44" s="41">
        <f>SUM('9'!$D$44:$F$44)</f>
        <v>8382.59</v>
      </c>
    </row>
    <row r="45" spans="1:4" ht="12" customHeight="1" x14ac:dyDescent="0.35">
      <c r="A45" s="15" t="s">
        <v>39</v>
      </c>
      <c r="B45" s="1"/>
      <c r="C45" s="16"/>
      <c r="D45" s="41">
        <f>SUM('9'!$D$45:$F$45)</f>
        <v>8382.59</v>
      </c>
    </row>
    <row r="46" spans="1:4" ht="12" customHeight="1" x14ac:dyDescent="0.35">
      <c r="A46" s="15" t="s">
        <v>40</v>
      </c>
      <c r="B46" s="1"/>
      <c r="C46" s="16"/>
      <c r="D46" s="41">
        <f>SUM('9'!$D$46:$F$46)</f>
        <v>3184.03</v>
      </c>
    </row>
    <row r="47" spans="1:4" ht="12" customHeight="1" x14ac:dyDescent="0.35">
      <c r="A47" s="15" t="s">
        <v>41</v>
      </c>
      <c r="B47" s="1"/>
      <c r="C47" s="16"/>
      <c r="D47" s="41">
        <f>SUM('9'!$D$47:$F$47)</f>
        <v>69.27</v>
      </c>
    </row>
    <row r="48" spans="1:4" ht="12" customHeight="1" x14ac:dyDescent="0.35">
      <c r="A48" s="15" t="s">
        <v>42</v>
      </c>
      <c r="B48" s="1"/>
      <c r="C48" s="16"/>
      <c r="D48" s="41">
        <f>SUM('9'!$D$48:$F$48)</f>
        <v>0</v>
      </c>
    </row>
    <row r="49" spans="1:4" ht="12" customHeight="1" x14ac:dyDescent="0.35">
      <c r="A49" s="15" t="s">
        <v>43</v>
      </c>
      <c r="B49" s="1"/>
      <c r="C49" s="16"/>
      <c r="D49" s="40">
        <f>SUM('9'!$D$49:$F$49)</f>
        <v>0</v>
      </c>
    </row>
    <row r="50" spans="1:4" ht="12" customHeight="1" x14ac:dyDescent="0.35">
      <c r="A50" s="15" t="s">
        <v>44</v>
      </c>
      <c r="B50" s="1"/>
      <c r="C50" s="16"/>
      <c r="D50" s="41">
        <f>SUM('9'!$D$50:$F$50)</f>
        <v>0</v>
      </c>
    </row>
    <row r="51" spans="1:4" ht="12" customHeight="1" x14ac:dyDescent="0.35">
      <c r="A51" s="15" t="s">
        <v>45</v>
      </c>
      <c r="B51" s="1"/>
      <c r="C51" s="16"/>
      <c r="D51" s="41">
        <f>SUM('9'!$D$51:$F$51)</f>
        <v>125.87</v>
      </c>
    </row>
    <row r="52" spans="1:4" ht="12" customHeight="1" x14ac:dyDescent="0.35">
      <c r="A52" s="15" t="s">
        <v>46</v>
      </c>
      <c r="B52" s="1"/>
      <c r="C52" s="16"/>
      <c r="D52" s="41">
        <f>SUM('9'!$D$52:$F$52)</f>
        <v>0</v>
      </c>
    </row>
    <row r="53" spans="1:4" ht="12" customHeight="1" x14ac:dyDescent="0.35">
      <c r="A53" s="15" t="s">
        <v>47</v>
      </c>
      <c r="B53" s="1"/>
      <c r="C53" s="16"/>
      <c r="D53" s="41">
        <f>SUM('9'!$D$53:$F$53)</f>
        <v>0</v>
      </c>
    </row>
    <row r="54" spans="1:4" ht="12" customHeight="1" x14ac:dyDescent="0.35">
      <c r="A54" s="15" t="s">
        <v>48</v>
      </c>
      <c r="B54" s="1"/>
      <c r="C54" s="16"/>
      <c r="D54" s="41">
        <f>SUM('9'!$D$54:$F$54)</f>
        <v>60</v>
      </c>
    </row>
    <row r="55" spans="1:4" ht="12" customHeight="1" thickBot="1" x14ac:dyDescent="0.4">
      <c r="A55" s="17" t="s">
        <v>51</v>
      </c>
      <c r="B55" s="18"/>
      <c r="C55" s="19"/>
      <c r="D55" s="42">
        <v>2</v>
      </c>
    </row>
  </sheetData>
  <pageMargins left="0" right="0" top="0" bottom="0.39370078740157499" header="0" footer="0"/>
  <pageSetup paperSize="9" fitToWidth="0" orientation="landscape"/>
  <headerFooter>
    <oddHeader>&amp;CIMPUTACIÓN DE COSTES&amp;RFecha listado: 29/01/26</oddHeader>
    <oddFooter>&amp;RPág. &amp;P de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4EF9A-E75D-4EB4-AA2C-E960EC19CD77}">
  <sheetPr>
    <pageSetUpPr fitToPage="1"/>
  </sheetPr>
  <dimension ref="A1:J6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baseColWidth="10" defaultColWidth="8.7265625" defaultRowHeight="12" customHeight="1" x14ac:dyDescent="0.35"/>
  <cols>
    <col min="1" max="1" width="1.7265625" customWidth="1"/>
    <col min="2" max="2" width="4.7265625" customWidth="1"/>
    <col min="3" max="3" width="56.7265625" customWidth="1"/>
    <col min="4" max="10" width="12.7265625" customWidth="1"/>
  </cols>
  <sheetData>
    <row r="1" spans="1:10" ht="12" customHeight="1" x14ac:dyDescent="0.35">
      <c r="A1" s="1"/>
      <c r="B1" s="2"/>
      <c r="C1" s="2"/>
    </row>
    <row r="2" spans="1:10" ht="12" customHeight="1" x14ac:dyDescent="0.35">
      <c r="A2" s="1" t="s">
        <v>0</v>
      </c>
      <c r="B2" s="2"/>
      <c r="C2" s="2"/>
      <c r="D2" t="s">
        <v>308</v>
      </c>
    </row>
    <row r="3" spans="1:10" ht="12" customHeight="1" thickBot="1" x14ac:dyDescent="0.4">
      <c r="A3" s="1" t="s">
        <v>1</v>
      </c>
      <c r="B3" s="2"/>
      <c r="C3" s="2"/>
    </row>
    <row r="4" spans="1:10" ht="13" customHeight="1" thickTop="1" thickBot="1" x14ac:dyDescent="0.4">
      <c r="A4" s="1" t="s">
        <v>2</v>
      </c>
      <c r="B4" s="2"/>
      <c r="C4" s="6"/>
      <c r="D4" s="20" t="s">
        <v>309</v>
      </c>
      <c r="E4" s="28" t="s">
        <v>310</v>
      </c>
      <c r="F4" s="28" t="s">
        <v>311</v>
      </c>
      <c r="G4" s="28" t="s">
        <v>312</v>
      </c>
      <c r="H4" s="28" t="s">
        <v>313</v>
      </c>
      <c r="I4" s="28" t="s">
        <v>314</v>
      </c>
      <c r="J4" s="11" t="s">
        <v>315</v>
      </c>
    </row>
    <row r="5" spans="1:10" ht="12" customHeight="1" thickTop="1" x14ac:dyDescent="0.35">
      <c r="A5" s="1" t="s">
        <v>3</v>
      </c>
      <c r="B5" s="2"/>
      <c r="C5" s="6"/>
      <c r="D5" s="21" t="s">
        <v>316</v>
      </c>
      <c r="E5" s="29" t="s">
        <v>70</v>
      </c>
      <c r="F5" s="29" t="s">
        <v>163</v>
      </c>
      <c r="G5" s="29" t="s">
        <v>317</v>
      </c>
      <c r="H5" s="29" t="s">
        <v>318</v>
      </c>
      <c r="I5" s="29" t="s">
        <v>319</v>
      </c>
      <c r="J5" s="3" t="s">
        <v>320</v>
      </c>
    </row>
    <row r="6" spans="1:10" ht="12" customHeight="1" x14ac:dyDescent="0.35">
      <c r="A6" s="1"/>
      <c r="B6" s="2"/>
      <c r="C6" s="6"/>
      <c r="D6" s="22" t="s">
        <v>321</v>
      </c>
      <c r="E6" s="30" t="s">
        <v>191</v>
      </c>
      <c r="F6" s="30" t="s">
        <v>179</v>
      </c>
      <c r="G6" s="30" t="s">
        <v>322</v>
      </c>
      <c r="H6" s="30" t="s">
        <v>323</v>
      </c>
      <c r="I6" s="30" t="s">
        <v>324</v>
      </c>
      <c r="J6" s="6" t="s">
        <v>325</v>
      </c>
    </row>
    <row r="7" spans="1:10" ht="12" customHeight="1" thickBot="1" x14ac:dyDescent="0.4">
      <c r="A7" s="18"/>
      <c r="B7" s="4"/>
      <c r="C7" s="5"/>
      <c r="D7" s="23" t="s">
        <v>326</v>
      </c>
      <c r="E7" s="31" t="s">
        <v>327</v>
      </c>
      <c r="F7" s="31" t="s">
        <v>328</v>
      </c>
      <c r="G7" s="31" t="s">
        <v>329</v>
      </c>
      <c r="H7" s="31" t="s">
        <v>330</v>
      </c>
      <c r="I7" s="31" t="s">
        <v>331</v>
      </c>
      <c r="J7" s="5"/>
    </row>
    <row r="8" spans="1:10" ht="12" customHeight="1" thickTop="1" x14ac:dyDescent="0.35">
      <c r="A8" s="12"/>
      <c r="B8" s="13"/>
      <c r="C8" s="14"/>
      <c r="D8" s="24"/>
      <c r="E8" s="32"/>
      <c r="F8" s="32"/>
      <c r="G8" s="32"/>
      <c r="H8" s="32"/>
      <c r="I8" s="32"/>
      <c r="J8" s="7"/>
    </row>
    <row r="9" spans="1:10" ht="12" customHeight="1" x14ac:dyDescent="0.35">
      <c r="A9" s="15" t="s">
        <v>15</v>
      </c>
      <c r="B9" s="1"/>
      <c r="C9" s="16"/>
      <c r="D9" s="25"/>
      <c r="E9" s="33"/>
      <c r="F9" s="33"/>
      <c r="G9" s="33"/>
      <c r="H9" s="33"/>
      <c r="I9" s="33"/>
      <c r="J9" s="8"/>
    </row>
    <row r="10" spans="1:10" ht="12" customHeight="1" x14ac:dyDescent="0.35">
      <c r="A10" s="15"/>
      <c r="B10" s="1"/>
      <c r="C10" s="16"/>
      <c r="D10" s="25"/>
      <c r="E10" s="33"/>
      <c r="F10" s="33"/>
      <c r="G10" s="33"/>
      <c r="H10" s="33"/>
      <c r="I10" s="33"/>
      <c r="J10" s="8"/>
    </row>
    <row r="11" spans="1:10" ht="12" customHeight="1" x14ac:dyDescent="0.35">
      <c r="A11" s="15"/>
      <c r="B11" s="1">
        <v>1</v>
      </c>
      <c r="C11" s="16" t="s">
        <v>16</v>
      </c>
      <c r="D11" s="26">
        <v>1500</v>
      </c>
      <c r="E11" s="34">
        <v>2000</v>
      </c>
      <c r="F11" s="34">
        <v>1474.96</v>
      </c>
      <c r="G11" s="34">
        <v>5000</v>
      </c>
      <c r="H11" s="34">
        <v>2666.8</v>
      </c>
      <c r="I11" s="34">
        <v>583.80999999999995</v>
      </c>
      <c r="J11" s="9">
        <v>1167.6300000000001</v>
      </c>
    </row>
    <row r="12" spans="1:10" ht="12" customHeight="1" x14ac:dyDescent="0.35">
      <c r="A12" s="15"/>
      <c r="B12" s="1">
        <v>3</v>
      </c>
      <c r="C12" s="16" t="s">
        <v>17</v>
      </c>
      <c r="D12" s="26">
        <v>453.8</v>
      </c>
      <c r="E12" s="34">
        <v>862.24</v>
      </c>
      <c r="F12" s="34">
        <v>1191.45</v>
      </c>
      <c r="G12" s="34">
        <v>1974.91</v>
      </c>
      <c r="H12" s="34">
        <v>1250.98</v>
      </c>
      <c r="I12" s="34">
        <v>125</v>
      </c>
      <c r="J12" s="9">
        <v>250.01</v>
      </c>
    </row>
    <row r="13" spans="1:10" ht="12" customHeight="1" x14ac:dyDescent="0.35">
      <c r="A13" s="15"/>
      <c r="B13" s="1">
        <v>8</v>
      </c>
      <c r="C13" s="16" t="s">
        <v>261</v>
      </c>
      <c r="D13" s="26"/>
      <c r="E13" s="34">
        <v>263.10000000000002</v>
      </c>
      <c r="F13" s="34"/>
      <c r="G13" s="34"/>
      <c r="H13" s="34">
        <v>793.93</v>
      </c>
      <c r="I13" s="34"/>
      <c r="J13" s="9"/>
    </row>
    <row r="14" spans="1:10" ht="12" customHeight="1" x14ac:dyDescent="0.35">
      <c r="A14" s="15"/>
      <c r="B14" s="1">
        <v>25</v>
      </c>
      <c r="C14" s="16" t="s">
        <v>332</v>
      </c>
      <c r="D14" s="26">
        <v>29.53</v>
      </c>
      <c r="E14" s="34"/>
      <c r="F14" s="34"/>
      <c r="G14" s="34"/>
      <c r="H14" s="34"/>
      <c r="I14" s="34"/>
      <c r="J14" s="9"/>
    </row>
    <row r="15" spans="1:10" ht="12" customHeight="1" x14ac:dyDescent="0.35">
      <c r="A15" s="15"/>
      <c r="B15" s="1">
        <v>53</v>
      </c>
      <c r="C15" s="16" t="s">
        <v>263</v>
      </c>
      <c r="D15" s="26"/>
      <c r="E15" s="34"/>
      <c r="F15" s="34">
        <v>250</v>
      </c>
      <c r="G15" s="34"/>
      <c r="H15" s="34"/>
      <c r="I15" s="34"/>
      <c r="J15" s="9"/>
    </row>
    <row r="16" spans="1:10" ht="12" customHeight="1" x14ac:dyDescent="0.35">
      <c r="A16" s="15"/>
      <c r="B16" s="1">
        <v>123</v>
      </c>
      <c r="C16" s="16" t="s">
        <v>18</v>
      </c>
      <c r="D16" s="26">
        <v>250</v>
      </c>
      <c r="E16" s="34">
        <v>333.34</v>
      </c>
      <c r="F16" s="34">
        <v>245.82</v>
      </c>
      <c r="G16" s="34">
        <v>833.34</v>
      </c>
      <c r="H16" s="34">
        <v>444.46</v>
      </c>
      <c r="I16" s="34">
        <v>103.78</v>
      </c>
      <c r="J16" s="9">
        <v>194.6</v>
      </c>
    </row>
    <row r="17" spans="1:10" ht="12" customHeight="1" x14ac:dyDescent="0.35">
      <c r="A17" s="15"/>
      <c r="B17" s="1">
        <v>273</v>
      </c>
      <c r="C17" s="16" t="s">
        <v>333</v>
      </c>
      <c r="D17" s="26">
        <v>100</v>
      </c>
      <c r="E17" s="34"/>
      <c r="F17" s="34"/>
      <c r="G17" s="34"/>
      <c r="H17" s="34"/>
      <c r="I17" s="34"/>
      <c r="J17" s="9"/>
    </row>
    <row r="18" spans="1:10" ht="12" customHeight="1" x14ac:dyDescent="0.35">
      <c r="A18" s="15"/>
      <c r="B18" s="1">
        <v>275</v>
      </c>
      <c r="C18" s="16" t="s">
        <v>19</v>
      </c>
      <c r="D18" s="26"/>
      <c r="E18" s="34"/>
      <c r="F18" s="34">
        <v>15</v>
      </c>
      <c r="G18" s="34"/>
      <c r="H18" s="34"/>
      <c r="I18" s="34"/>
      <c r="J18" s="9"/>
    </row>
    <row r="19" spans="1:10" ht="12" customHeight="1" x14ac:dyDescent="0.35">
      <c r="A19" s="15"/>
      <c r="B19" s="1">
        <v>276</v>
      </c>
      <c r="C19" s="16" t="s">
        <v>20</v>
      </c>
      <c r="D19" s="26">
        <v>-95.6</v>
      </c>
      <c r="E19" s="34">
        <v>-29.1</v>
      </c>
      <c r="F19" s="34"/>
      <c r="G19" s="34"/>
      <c r="H19" s="34">
        <v>-220</v>
      </c>
      <c r="I19" s="34"/>
      <c r="J19" s="9">
        <v>-53.7</v>
      </c>
    </row>
    <row r="20" spans="1:10" ht="12" customHeight="1" x14ac:dyDescent="0.35">
      <c r="A20" s="15"/>
      <c r="B20" s="1">
        <v>277</v>
      </c>
      <c r="C20" s="16" t="s">
        <v>76</v>
      </c>
      <c r="D20" s="26">
        <v>-101.5</v>
      </c>
      <c r="E20" s="34"/>
      <c r="F20" s="34"/>
      <c r="G20" s="34"/>
      <c r="H20" s="34">
        <v>-40.200000000000003</v>
      </c>
      <c r="I20" s="34"/>
      <c r="J20" s="9">
        <v>-10</v>
      </c>
    </row>
    <row r="21" spans="1:10" ht="12" customHeight="1" x14ac:dyDescent="0.35">
      <c r="A21" s="15"/>
      <c r="B21" s="1">
        <v>278</v>
      </c>
      <c r="C21" s="16" t="s">
        <v>266</v>
      </c>
      <c r="D21" s="26">
        <v>-530</v>
      </c>
      <c r="E21" s="34"/>
      <c r="F21" s="34"/>
      <c r="G21" s="34"/>
      <c r="H21" s="34"/>
      <c r="I21" s="34"/>
      <c r="J21" s="9"/>
    </row>
    <row r="22" spans="1:10" ht="12" customHeight="1" x14ac:dyDescent="0.35">
      <c r="A22" s="15"/>
      <c r="B22" s="1">
        <v>280</v>
      </c>
      <c r="C22" s="16" t="s">
        <v>267</v>
      </c>
      <c r="D22" s="26">
        <v>-9.2899999999999991</v>
      </c>
      <c r="E22" s="34"/>
      <c r="F22" s="34"/>
      <c r="G22" s="34">
        <v>-9.2899999999999991</v>
      </c>
      <c r="H22" s="34"/>
      <c r="I22" s="34"/>
      <c r="J22" s="9"/>
    </row>
    <row r="23" spans="1:10" ht="12" customHeight="1" x14ac:dyDescent="0.35">
      <c r="A23" s="15"/>
      <c r="B23" s="1">
        <v>337</v>
      </c>
      <c r="C23" s="16" t="s">
        <v>21</v>
      </c>
      <c r="D23" s="26">
        <v>95.6</v>
      </c>
      <c r="E23" s="34">
        <v>29.1</v>
      </c>
      <c r="F23" s="34"/>
      <c r="G23" s="34"/>
      <c r="H23" s="34">
        <v>220</v>
      </c>
      <c r="I23" s="34"/>
      <c r="J23" s="9">
        <v>53.7</v>
      </c>
    </row>
    <row r="24" spans="1:10" ht="12" customHeight="1" x14ac:dyDescent="0.35">
      <c r="A24" s="15"/>
      <c r="B24" s="1">
        <v>339</v>
      </c>
      <c r="C24" s="16" t="s">
        <v>78</v>
      </c>
      <c r="D24" s="26"/>
      <c r="E24" s="34"/>
      <c r="F24" s="34">
        <v>214.27</v>
      </c>
      <c r="G24" s="34"/>
      <c r="H24" s="34"/>
      <c r="I24" s="34"/>
      <c r="J24" s="9"/>
    </row>
    <row r="25" spans="1:10" ht="12" customHeight="1" x14ac:dyDescent="0.35">
      <c r="A25" s="15"/>
      <c r="B25" s="1">
        <v>343</v>
      </c>
      <c r="C25" s="16" t="s">
        <v>79</v>
      </c>
      <c r="D25" s="26">
        <v>101.5</v>
      </c>
      <c r="E25" s="34"/>
      <c r="F25" s="34"/>
      <c r="G25" s="34"/>
      <c r="H25" s="34">
        <v>40.200000000000003</v>
      </c>
      <c r="I25" s="34"/>
      <c r="J25" s="9">
        <v>10</v>
      </c>
    </row>
    <row r="26" spans="1:10" ht="12" customHeight="1" x14ac:dyDescent="0.35">
      <c r="A26" s="15"/>
      <c r="B26" s="1">
        <v>349</v>
      </c>
      <c r="C26" s="16" t="s">
        <v>270</v>
      </c>
      <c r="D26" s="26">
        <v>530</v>
      </c>
      <c r="E26" s="34"/>
      <c r="F26" s="34"/>
      <c r="G26" s="34"/>
      <c r="H26" s="34"/>
      <c r="I26" s="34"/>
      <c r="J26" s="9"/>
    </row>
    <row r="27" spans="1:10" ht="12" customHeight="1" x14ac:dyDescent="0.35">
      <c r="A27" s="15"/>
      <c r="B27" s="1">
        <v>352</v>
      </c>
      <c r="C27" s="16" t="s">
        <v>271</v>
      </c>
      <c r="D27" s="26">
        <v>9.2899999999999991</v>
      </c>
      <c r="E27" s="34"/>
      <c r="F27" s="34"/>
      <c r="G27" s="34">
        <v>9.2899999999999991</v>
      </c>
      <c r="H27" s="34"/>
      <c r="I27" s="34"/>
      <c r="J27" s="9"/>
    </row>
    <row r="28" spans="1:10" ht="12" customHeight="1" x14ac:dyDescent="0.35">
      <c r="A28" s="15"/>
      <c r="B28" s="1">
        <v>353</v>
      </c>
      <c r="C28" s="16" t="s">
        <v>81</v>
      </c>
      <c r="D28" s="26">
        <v>74.05</v>
      </c>
      <c r="E28" s="34">
        <v>41.67</v>
      </c>
      <c r="F28" s="34">
        <v>41.67</v>
      </c>
      <c r="G28" s="34">
        <v>32.380000000000003</v>
      </c>
      <c r="H28" s="34"/>
      <c r="I28" s="34"/>
      <c r="J28" s="9"/>
    </row>
    <row r="29" spans="1:10" ht="12" customHeight="1" x14ac:dyDescent="0.35">
      <c r="A29" s="15"/>
      <c r="B29" s="1">
        <v>355</v>
      </c>
      <c r="C29" s="16" t="s">
        <v>272</v>
      </c>
      <c r="D29" s="26">
        <v>23.09</v>
      </c>
      <c r="E29" s="34"/>
      <c r="F29" s="34"/>
      <c r="G29" s="34">
        <v>23.09</v>
      </c>
      <c r="H29" s="34"/>
      <c r="I29" s="34"/>
      <c r="J29" s="9"/>
    </row>
    <row r="30" spans="1:10" ht="12" customHeight="1" x14ac:dyDescent="0.35">
      <c r="A30" s="15"/>
      <c r="B30" s="1">
        <v>356</v>
      </c>
      <c r="C30" s="16" t="s">
        <v>82</v>
      </c>
      <c r="D30" s="26">
        <v>23.09</v>
      </c>
      <c r="E30" s="34">
        <v>23.09</v>
      </c>
      <c r="F30" s="34">
        <v>23.09</v>
      </c>
      <c r="G30" s="34"/>
      <c r="H30" s="34"/>
      <c r="I30" s="34"/>
      <c r="J30" s="9"/>
    </row>
    <row r="31" spans="1:10" ht="12" customHeight="1" x14ac:dyDescent="0.35">
      <c r="A31" s="15"/>
      <c r="B31" s="1">
        <v>357</v>
      </c>
      <c r="C31" s="16" t="s">
        <v>273</v>
      </c>
      <c r="D31" s="26">
        <v>-23.09</v>
      </c>
      <c r="E31" s="34"/>
      <c r="F31" s="34"/>
      <c r="G31" s="34">
        <v>-23.09</v>
      </c>
      <c r="H31" s="34"/>
      <c r="I31" s="34"/>
      <c r="J31" s="9"/>
    </row>
    <row r="32" spans="1:10" ht="12" customHeight="1" x14ac:dyDescent="0.35">
      <c r="A32" s="15"/>
      <c r="B32" s="1">
        <v>398</v>
      </c>
      <c r="C32" s="16" t="s">
        <v>22</v>
      </c>
      <c r="D32" s="26"/>
      <c r="E32" s="34">
        <v>137.76</v>
      </c>
      <c r="F32" s="34">
        <v>137.76</v>
      </c>
      <c r="G32" s="34">
        <v>137.76</v>
      </c>
      <c r="H32" s="34">
        <v>137.76</v>
      </c>
      <c r="I32" s="34">
        <v>68.88</v>
      </c>
      <c r="J32" s="9">
        <v>137.76</v>
      </c>
    </row>
    <row r="33" spans="1:10" ht="12" customHeight="1" x14ac:dyDescent="0.35">
      <c r="A33" s="15"/>
      <c r="B33" s="1">
        <v>988</v>
      </c>
      <c r="C33" s="16" t="s">
        <v>83</v>
      </c>
      <c r="D33" s="26">
        <v>7.02</v>
      </c>
      <c r="E33" s="34">
        <v>4.7300000000000004</v>
      </c>
      <c r="F33" s="34">
        <v>6</v>
      </c>
      <c r="G33" s="34">
        <v>7.29</v>
      </c>
      <c r="H33" s="34"/>
      <c r="I33" s="34"/>
      <c r="J33" s="9"/>
    </row>
    <row r="34" spans="1:10" ht="12" customHeight="1" x14ac:dyDescent="0.35">
      <c r="A34" s="15"/>
      <c r="B34" s="1"/>
      <c r="C34" s="16"/>
      <c r="D34" s="26"/>
      <c r="E34" s="34"/>
      <c r="F34" s="34"/>
      <c r="G34" s="34"/>
      <c r="H34" s="34"/>
      <c r="I34" s="34"/>
      <c r="J34" s="9"/>
    </row>
    <row r="35" spans="1:10" ht="12" customHeight="1" x14ac:dyDescent="0.35">
      <c r="A35" s="15" t="s">
        <v>23</v>
      </c>
      <c r="B35" s="1"/>
      <c r="C35" s="16"/>
      <c r="D35" s="26">
        <f t="shared" ref="D35:J35" si="0">SUM(D11:D34)</f>
        <v>2437.4900000000002</v>
      </c>
      <c r="E35" s="34">
        <f t="shared" si="0"/>
        <v>3665.93</v>
      </c>
      <c r="F35" s="34">
        <f t="shared" si="0"/>
        <v>3600.0200000000004</v>
      </c>
      <c r="G35" s="34">
        <f t="shared" si="0"/>
        <v>7985.68</v>
      </c>
      <c r="H35" s="34">
        <f t="shared" si="0"/>
        <v>5293.93</v>
      </c>
      <c r="I35" s="34">
        <f t="shared" si="0"/>
        <v>881.46999999999991</v>
      </c>
      <c r="J35" s="9">
        <f t="shared" si="0"/>
        <v>1750</v>
      </c>
    </row>
    <row r="36" spans="1:10" ht="12" customHeight="1" x14ac:dyDescent="0.35">
      <c r="A36" s="15"/>
      <c r="B36" s="1"/>
      <c r="C36" s="16"/>
      <c r="D36" s="26"/>
      <c r="E36" s="34"/>
      <c r="F36" s="34"/>
      <c r="G36" s="34"/>
      <c r="H36" s="34"/>
      <c r="I36" s="34"/>
      <c r="J36" s="9"/>
    </row>
    <row r="37" spans="1:10" ht="12" customHeight="1" x14ac:dyDescent="0.35">
      <c r="A37" s="15"/>
      <c r="B37" s="1">
        <v>789</v>
      </c>
      <c r="C37" s="16" t="s">
        <v>24</v>
      </c>
      <c r="D37" s="26">
        <v>856.62</v>
      </c>
      <c r="E37" s="34">
        <v>93.86</v>
      </c>
      <c r="F37" s="34">
        <v>279.02999999999997</v>
      </c>
      <c r="G37" s="34">
        <v>64.760000000000005</v>
      </c>
      <c r="H37" s="34">
        <v>260.2</v>
      </c>
      <c r="I37" s="34"/>
      <c r="J37" s="9">
        <v>63.7</v>
      </c>
    </row>
    <row r="38" spans="1:10" ht="12" customHeight="1" x14ac:dyDescent="0.35">
      <c r="A38" s="15"/>
      <c r="B38" s="1">
        <v>989</v>
      </c>
      <c r="C38" s="16" t="s">
        <v>85</v>
      </c>
      <c r="D38" s="26">
        <v>7.02</v>
      </c>
      <c r="E38" s="34">
        <v>4.7300000000000004</v>
      </c>
      <c r="F38" s="34">
        <v>6</v>
      </c>
      <c r="G38" s="34">
        <v>7.29</v>
      </c>
      <c r="H38" s="34"/>
      <c r="I38" s="34"/>
      <c r="J38" s="9"/>
    </row>
    <row r="39" spans="1:10" ht="12" customHeight="1" x14ac:dyDescent="0.35">
      <c r="A39" s="15"/>
      <c r="B39" s="1">
        <v>995</v>
      </c>
      <c r="C39" s="16" t="s">
        <v>25</v>
      </c>
      <c r="D39" s="26">
        <v>117.88</v>
      </c>
      <c r="E39" s="34">
        <v>177.57</v>
      </c>
      <c r="F39" s="34">
        <v>174.31</v>
      </c>
      <c r="G39" s="34">
        <v>253.45</v>
      </c>
      <c r="H39" s="34">
        <v>247.78</v>
      </c>
      <c r="I39" s="34">
        <v>42.75</v>
      </c>
      <c r="J39" s="9">
        <v>84.88</v>
      </c>
    </row>
    <row r="40" spans="1:10" ht="12" customHeight="1" x14ac:dyDescent="0.35">
      <c r="A40" s="15"/>
      <c r="B40" s="1">
        <v>996</v>
      </c>
      <c r="C40" s="16" t="s">
        <v>26</v>
      </c>
      <c r="D40" s="26">
        <v>2.4300000000000002</v>
      </c>
      <c r="E40" s="34">
        <v>3.66</v>
      </c>
      <c r="F40" s="34">
        <v>3.59</v>
      </c>
      <c r="G40" s="34">
        <v>5.0999999999999996</v>
      </c>
      <c r="H40" s="34">
        <v>5.0999999999999996</v>
      </c>
      <c r="I40" s="34">
        <v>0.88</v>
      </c>
      <c r="J40" s="9">
        <v>1.75</v>
      </c>
    </row>
    <row r="41" spans="1:10" ht="12" customHeight="1" x14ac:dyDescent="0.35">
      <c r="A41" s="15"/>
      <c r="B41" s="1">
        <v>997</v>
      </c>
      <c r="C41" s="16" t="s">
        <v>27</v>
      </c>
      <c r="D41" s="26">
        <v>37.67</v>
      </c>
      <c r="E41" s="34">
        <v>56.75</v>
      </c>
      <c r="F41" s="34">
        <v>55.71</v>
      </c>
      <c r="G41" s="34">
        <v>79.069999999999993</v>
      </c>
      <c r="H41" s="34">
        <v>79.069999999999993</v>
      </c>
      <c r="I41" s="34">
        <v>13.66</v>
      </c>
      <c r="J41" s="9">
        <v>27.13</v>
      </c>
    </row>
    <row r="42" spans="1:10" ht="12" customHeight="1" x14ac:dyDescent="0.35">
      <c r="A42" s="15"/>
      <c r="B42" s="1">
        <v>999</v>
      </c>
      <c r="C42" s="16" t="s">
        <v>28</v>
      </c>
      <c r="D42" s="26">
        <v>239.23</v>
      </c>
      <c r="E42" s="34">
        <v>731.3</v>
      </c>
      <c r="F42" s="34">
        <v>861.9</v>
      </c>
      <c r="G42" s="34">
        <v>2499.92</v>
      </c>
      <c r="H42" s="34">
        <v>1226.72</v>
      </c>
      <c r="I42" s="34">
        <v>93.7</v>
      </c>
      <c r="J42" s="9">
        <v>187.35</v>
      </c>
    </row>
    <row r="43" spans="1:10" ht="12" customHeight="1" x14ac:dyDescent="0.35">
      <c r="A43" s="15"/>
      <c r="B43" s="1"/>
      <c r="C43" s="16"/>
      <c r="D43" s="26"/>
      <c r="E43" s="34"/>
      <c r="F43" s="34"/>
      <c r="G43" s="34"/>
      <c r="H43" s="34"/>
      <c r="I43" s="34"/>
      <c r="J43" s="9"/>
    </row>
    <row r="44" spans="1:10" ht="12" customHeight="1" x14ac:dyDescent="0.35">
      <c r="A44" s="15" t="s">
        <v>29</v>
      </c>
      <c r="B44" s="1"/>
      <c r="C44" s="16"/>
      <c r="D44" s="26">
        <f t="shared" ref="D44:J44" si="1">SUM(D36:D43)</f>
        <v>1260.8499999999999</v>
      </c>
      <c r="E44" s="34">
        <f t="shared" si="1"/>
        <v>1067.8699999999999</v>
      </c>
      <c r="F44" s="34">
        <f t="shared" si="1"/>
        <v>1380.54</v>
      </c>
      <c r="G44" s="34">
        <f t="shared" si="1"/>
        <v>2909.59</v>
      </c>
      <c r="H44" s="34">
        <f t="shared" si="1"/>
        <v>1818.8700000000001</v>
      </c>
      <c r="I44" s="34">
        <f t="shared" si="1"/>
        <v>150.99</v>
      </c>
      <c r="J44" s="9">
        <f t="shared" si="1"/>
        <v>364.80999999999995</v>
      </c>
    </row>
    <row r="45" spans="1:10" ht="12" customHeight="1" x14ac:dyDescent="0.35">
      <c r="A45" s="15"/>
      <c r="B45" s="1"/>
      <c r="C45" s="16"/>
      <c r="D45" s="26"/>
      <c r="E45" s="34"/>
      <c r="F45" s="34"/>
      <c r="G45" s="34"/>
      <c r="H45" s="34"/>
      <c r="I45" s="34"/>
      <c r="J45" s="9"/>
    </row>
    <row r="46" spans="1:10" ht="12" customHeight="1" x14ac:dyDescent="0.35">
      <c r="A46" s="15" t="s">
        <v>30</v>
      </c>
      <c r="B46" s="1"/>
      <c r="C46" s="16"/>
      <c r="D46" s="26">
        <f t="shared" ref="D46:J46" si="2">(D35-D44)</f>
        <v>1176.6400000000003</v>
      </c>
      <c r="E46" s="34">
        <f t="shared" si="2"/>
        <v>2598.06</v>
      </c>
      <c r="F46" s="34">
        <f t="shared" si="2"/>
        <v>2219.4800000000005</v>
      </c>
      <c r="G46" s="34">
        <f t="shared" si="2"/>
        <v>5076.09</v>
      </c>
      <c r="H46" s="34">
        <f t="shared" si="2"/>
        <v>3475.0600000000004</v>
      </c>
      <c r="I46" s="34">
        <f t="shared" si="2"/>
        <v>730.4799999999999</v>
      </c>
      <c r="J46" s="9">
        <f t="shared" si="2"/>
        <v>1385.19</v>
      </c>
    </row>
    <row r="47" spans="1:10" ht="12" customHeight="1" x14ac:dyDescent="0.35">
      <c r="A47" s="15" t="s">
        <v>31</v>
      </c>
      <c r="B47" s="1"/>
      <c r="C47" s="16"/>
      <c r="D47" s="26">
        <v>0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9">
        <v>0</v>
      </c>
    </row>
    <row r="48" spans="1:10" ht="12" customHeight="1" x14ac:dyDescent="0.35">
      <c r="A48" s="15" t="s">
        <v>32</v>
      </c>
      <c r="B48" s="1"/>
      <c r="C48" s="16"/>
      <c r="D48" s="26">
        <v>781.38</v>
      </c>
      <c r="E48" s="34">
        <v>1177.07</v>
      </c>
      <c r="F48" s="34">
        <v>1155.49</v>
      </c>
      <c r="G48" s="34">
        <v>1670.14</v>
      </c>
      <c r="H48" s="34">
        <v>1641.88</v>
      </c>
      <c r="I48" s="34">
        <v>548.41</v>
      </c>
      <c r="J48" s="9">
        <v>562.62</v>
      </c>
    </row>
    <row r="49" spans="1:10" ht="12" customHeight="1" x14ac:dyDescent="0.35">
      <c r="A49" s="15" t="s">
        <v>33</v>
      </c>
      <c r="B49" s="1"/>
      <c r="C49" s="16"/>
      <c r="D49" s="26">
        <v>157.97999999999999</v>
      </c>
      <c r="E49" s="34">
        <v>237.98</v>
      </c>
      <c r="F49" s="34">
        <v>233.61</v>
      </c>
      <c r="G49" s="34">
        <v>337.62</v>
      </c>
      <c r="H49" s="34">
        <v>331.95</v>
      </c>
      <c r="I49" s="34">
        <v>57.29</v>
      </c>
      <c r="J49" s="9">
        <v>113.76</v>
      </c>
    </row>
    <row r="50" spans="1:10" ht="12" customHeight="1" x14ac:dyDescent="0.35">
      <c r="A50" s="15" t="s">
        <v>34</v>
      </c>
      <c r="B50" s="1"/>
      <c r="C50" s="16"/>
      <c r="D50" s="26">
        <v>939.36</v>
      </c>
      <c r="E50" s="34">
        <v>1415.05</v>
      </c>
      <c r="F50" s="34">
        <v>1389.1</v>
      </c>
      <c r="G50" s="34">
        <v>2007.76</v>
      </c>
      <c r="H50" s="34">
        <v>1973.83</v>
      </c>
      <c r="I50" s="34">
        <v>605.70000000000005</v>
      </c>
      <c r="J50" s="9">
        <v>676.38</v>
      </c>
    </row>
    <row r="51" spans="1:10" ht="12" customHeight="1" x14ac:dyDescent="0.35">
      <c r="A51" s="15" t="s">
        <v>35</v>
      </c>
      <c r="B51" s="1"/>
      <c r="C51" s="16"/>
      <c r="D51" s="26">
        <v>0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9">
        <v>0</v>
      </c>
    </row>
    <row r="52" spans="1:10" ht="12" customHeight="1" x14ac:dyDescent="0.35">
      <c r="A52" s="15" t="s">
        <v>36</v>
      </c>
      <c r="B52" s="1"/>
      <c r="C52" s="16"/>
      <c r="D52" s="26">
        <v>0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9">
        <v>0</v>
      </c>
    </row>
    <row r="53" spans="1:10" ht="12" customHeight="1" x14ac:dyDescent="0.35">
      <c r="A53" s="15" t="s">
        <v>37</v>
      </c>
      <c r="B53" s="1"/>
      <c r="C53" s="16"/>
      <c r="D53" s="26">
        <f t="shared" ref="D53:J53" si="3">D35+D48</f>
        <v>3218.8700000000003</v>
      </c>
      <c r="E53" s="34">
        <f t="shared" si="3"/>
        <v>4843</v>
      </c>
      <c r="F53" s="34">
        <f t="shared" si="3"/>
        <v>4755.51</v>
      </c>
      <c r="G53" s="34">
        <f t="shared" si="3"/>
        <v>9655.82</v>
      </c>
      <c r="H53" s="34">
        <f t="shared" si="3"/>
        <v>6935.81</v>
      </c>
      <c r="I53" s="34">
        <f t="shared" si="3"/>
        <v>1429.8799999999999</v>
      </c>
      <c r="J53" s="9">
        <f t="shared" si="3"/>
        <v>2312.62</v>
      </c>
    </row>
    <row r="54" spans="1:10" ht="12" customHeight="1" x14ac:dyDescent="0.35">
      <c r="A54" s="15" t="s">
        <v>38</v>
      </c>
      <c r="B54" s="1"/>
      <c r="C54" s="16"/>
      <c r="D54" s="26">
        <v>2430.4699999999998</v>
      </c>
      <c r="E54" s="34">
        <v>3661.2</v>
      </c>
      <c r="F54" s="34">
        <v>3594.02</v>
      </c>
      <c r="G54" s="34">
        <v>5101.2</v>
      </c>
      <c r="H54" s="34">
        <v>5101.2</v>
      </c>
      <c r="I54" s="34">
        <v>1705.79</v>
      </c>
      <c r="J54" s="9">
        <v>1750</v>
      </c>
    </row>
    <row r="55" spans="1:10" ht="12" customHeight="1" x14ac:dyDescent="0.35">
      <c r="A55" s="15" t="s">
        <v>39</v>
      </c>
      <c r="B55" s="1"/>
      <c r="C55" s="16"/>
      <c r="D55" s="26">
        <v>2430.4699999999998</v>
      </c>
      <c r="E55" s="34">
        <v>3661.2</v>
      </c>
      <c r="F55" s="34">
        <v>3594.02</v>
      </c>
      <c r="G55" s="34">
        <v>5101.2</v>
      </c>
      <c r="H55" s="34">
        <v>5101.2</v>
      </c>
      <c r="I55" s="34">
        <v>1705.79</v>
      </c>
      <c r="J55" s="9">
        <v>1750</v>
      </c>
    </row>
    <row r="56" spans="1:10" ht="12" customHeight="1" x14ac:dyDescent="0.35">
      <c r="A56" s="15" t="s">
        <v>40</v>
      </c>
      <c r="B56" s="1"/>
      <c r="C56" s="16"/>
      <c r="D56" s="26">
        <v>1573.85</v>
      </c>
      <c r="E56" s="34">
        <v>3567.34</v>
      </c>
      <c r="F56" s="34">
        <v>3314.99</v>
      </c>
      <c r="G56" s="34">
        <v>7913.63</v>
      </c>
      <c r="H56" s="34">
        <v>5033.7299999999996</v>
      </c>
      <c r="I56" s="34">
        <v>881.47</v>
      </c>
      <c r="J56" s="9">
        <v>1686.3</v>
      </c>
    </row>
    <row r="57" spans="1:10" ht="12" customHeight="1" x14ac:dyDescent="0.35">
      <c r="A57" s="15" t="s">
        <v>41</v>
      </c>
      <c r="B57" s="1"/>
      <c r="C57" s="16"/>
      <c r="D57" s="26">
        <v>46.18</v>
      </c>
      <c r="E57" s="34">
        <v>23.09</v>
      </c>
      <c r="F57" s="34">
        <v>23.09</v>
      </c>
      <c r="G57" s="34">
        <v>23.09</v>
      </c>
      <c r="H57" s="34">
        <v>0</v>
      </c>
      <c r="I57" s="34">
        <v>0</v>
      </c>
      <c r="J57" s="9">
        <v>0</v>
      </c>
    </row>
    <row r="58" spans="1:10" ht="12" customHeight="1" x14ac:dyDescent="0.35">
      <c r="A58" s="15" t="s">
        <v>42</v>
      </c>
      <c r="B58" s="1"/>
      <c r="C58" s="16"/>
      <c r="D58" s="26">
        <v>0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9">
        <v>0</v>
      </c>
    </row>
    <row r="59" spans="1:10" ht="12" customHeight="1" x14ac:dyDescent="0.35">
      <c r="A59" s="15" t="s">
        <v>43</v>
      </c>
      <c r="B59" s="1"/>
      <c r="C59" s="16"/>
      <c r="D59" s="25">
        <v>0</v>
      </c>
      <c r="E59" s="33">
        <v>0</v>
      </c>
      <c r="F59" s="33">
        <v>0</v>
      </c>
      <c r="G59" s="33">
        <v>0</v>
      </c>
      <c r="H59" s="33">
        <v>0</v>
      </c>
      <c r="I59" s="33">
        <v>0</v>
      </c>
      <c r="J59" s="8">
        <v>0</v>
      </c>
    </row>
    <row r="60" spans="1:10" ht="12" customHeight="1" x14ac:dyDescent="0.35">
      <c r="A60" s="15" t="s">
        <v>44</v>
      </c>
      <c r="B60" s="1"/>
      <c r="C60" s="16"/>
      <c r="D60" s="26">
        <v>0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9">
        <v>0</v>
      </c>
    </row>
    <row r="61" spans="1:10" ht="12" customHeight="1" x14ac:dyDescent="0.35">
      <c r="A61" s="15" t="s">
        <v>45</v>
      </c>
      <c r="B61" s="1"/>
      <c r="C61" s="16"/>
      <c r="D61" s="26">
        <v>160</v>
      </c>
      <c r="E61" s="34">
        <v>160</v>
      </c>
      <c r="F61" s="34">
        <v>160</v>
      </c>
      <c r="G61" s="34">
        <v>160</v>
      </c>
      <c r="H61" s="34">
        <v>106.67</v>
      </c>
      <c r="I61" s="34">
        <v>88</v>
      </c>
      <c r="J61" s="9">
        <v>160</v>
      </c>
    </row>
    <row r="62" spans="1:10" ht="12" customHeight="1" x14ac:dyDescent="0.35">
      <c r="A62" s="15" t="s">
        <v>46</v>
      </c>
      <c r="B62" s="1"/>
      <c r="C62" s="16"/>
      <c r="D62" s="26">
        <v>0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9">
        <v>0</v>
      </c>
    </row>
    <row r="63" spans="1:10" ht="12" customHeight="1" x14ac:dyDescent="0.35">
      <c r="A63" s="15" t="s">
        <v>47</v>
      </c>
      <c r="B63" s="1"/>
      <c r="C63" s="16"/>
      <c r="D63" s="26">
        <v>0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9">
        <v>0</v>
      </c>
    </row>
    <row r="64" spans="1:10" ht="12" customHeight="1" thickBot="1" x14ac:dyDescent="0.4">
      <c r="A64" s="17" t="s">
        <v>48</v>
      </c>
      <c r="B64" s="18"/>
      <c r="C64" s="19"/>
      <c r="D64" s="27">
        <v>30</v>
      </c>
      <c r="E64" s="35">
        <v>30</v>
      </c>
      <c r="F64" s="35">
        <v>30</v>
      </c>
      <c r="G64" s="35">
        <v>30</v>
      </c>
      <c r="H64" s="35">
        <v>30</v>
      </c>
      <c r="I64" s="35">
        <v>30</v>
      </c>
      <c r="J64" s="10">
        <v>30</v>
      </c>
    </row>
  </sheetData>
  <pageMargins left="0" right="0" top="0" bottom="0.39370078740157499" header="0" footer="0"/>
  <pageSetup paperSize="9" fitToWidth="0" orientation="landscape"/>
  <headerFooter>
    <oddHeader>&amp;CIMPUTACIÓN DE COSTES&amp;RFecha listado: 29/01/26</oddHeader>
    <oddFooter>&amp;RPág. &amp;P de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174E2-64AC-4A71-9E4D-335BCBC89048}">
  <sheetPr>
    <pageSetUpPr fitToPage="1"/>
  </sheetPr>
  <dimension ref="A1:E75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baseColWidth="10" defaultColWidth="8.7265625" defaultRowHeight="12" customHeight="1" x14ac:dyDescent="0.35"/>
  <cols>
    <col min="1" max="1" width="1.7265625" customWidth="1"/>
    <col min="2" max="2" width="4.7265625" customWidth="1"/>
    <col min="3" max="3" width="56.7265625" customWidth="1"/>
    <col min="4" max="5" width="24.7265625" customWidth="1"/>
  </cols>
  <sheetData>
    <row r="1" spans="1:5" ht="12" customHeight="1" x14ac:dyDescent="0.35">
      <c r="A1" s="1"/>
      <c r="B1" s="2"/>
      <c r="C1" s="2"/>
    </row>
    <row r="2" spans="1:5" ht="12" customHeight="1" x14ac:dyDescent="0.35">
      <c r="A2" s="1" t="s">
        <v>0</v>
      </c>
      <c r="B2" s="2"/>
      <c r="C2" s="2"/>
      <c r="D2" t="s">
        <v>308</v>
      </c>
    </row>
    <row r="3" spans="1:5" ht="12" customHeight="1" thickBot="1" x14ac:dyDescent="0.4">
      <c r="A3" s="1" t="s">
        <v>1</v>
      </c>
      <c r="B3" s="2"/>
      <c r="C3" s="2"/>
    </row>
    <row r="4" spans="1:5" ht="13" customHeight="1" thickTop="1" thickBot="1" x14ac:dyDescent="0.4">
      <c r="A4" s="1" t="s">
        <v>2</v>
      </c>
      <c r="B4" s="2"/>
      <c r="C4" s="6"/>
      <c r="D4" s="20" t="s">
        <v>49</v>
      </c>
      <c r="E4" s="11" t="s">
        <v>49</v>
      </c>
    </row>
    <row r="5" spans="1:5" ht="12" customHeight="1" thickTop="1" x14ac:dyDescent="0.35">
      <c r="A5" s="1" t="s">
        <v>3</v>
      </c>
      <c r="B5" s="2"/>
      <c r="C5" s="6"/>
      <c r="D5" s="21" t="s">
        <v>334</v>
      </c>
      <c r="E5" s="3" t="s">
        <v>335</v>
      </c>
    </row>
    <row r="6" spans="1:5" ht="12" customHeight="1" x14ac:dyDescent="0.35">
      <c r="A6" s="1"/>
      <c r="B6" s="2"/>
      <c r="C6" s="6"/>
      <c r="D6" s="22"/>
      <c r="E6" s="6"/>
    </row>
    <row r="7" spans="1:5" ht="12" customHeight="1" thickBot="1" x14ac:dyDescent="0.4">
      <c r="A7" s="18"/>
      <c r="B7" s="4"/>
      <c r="C7" s="5"/>
      <c r="D7" s="23"/>
      <c r="E7" s="5"/>
    </row>
    <row r="8" spans="1:5" ht="12" customHeight="1" thickTop="1" x14ac:dyDescent="0.35">
      <c r="A8" s="12"/>
      <c r="B8" s="13"/>
      <c r="C8" s="14"/>
      <c r="D8" s="24"/>
      <c r="E8" s="7"/>
    </row>
    <row r="9" spans="1:5" ht="12" customHeight="1" x14ac:dyDescent="0.35">
      <c r="A9" s="15" t="s">
        <v>15</v>
      </c>
      <c r="B9" s="1"/>
      <c r="C9" s="16"/>
      <c r="D9" s="25"/>
      <c r="E9" s="8"/>
    </row>
    <row r="10" spans="1:5" ht="12" customHeight="1" x14ac:dyDescent="0.35">
      <c r="A10" s="15"/>
      <c r="B10" s="1"/>
      <c r="C10" s="16"/>
      <c r="D10" s="25"/>
      <c r="E10" s="8"/>
    </row>
    <row r="11" spans="1:5" ht="12" customHeight="1" x14ac:dyDescent="0.35">
      <c r="A11" s="15"/>
      <c r="B11" s="1">
        <v>1</v>
      </c>
      <c r="C11" s="16" t="s">
        <v>16</v>
      </c>
      <c r="D11" s="26">
        <f>SUM('11'!$D$11:$K$11)</f>
        <v>14393.199999999997</v>
      </c>
      <c r="E11" s="9">
        <f>'2'!$D$11+'4'!$D$11+'6'!$D$11+'8'!$D$11+'10'!$D$11+'12'!$D$11</f>
        <v>120631.88999999998</v>
      </c>
    </row>
    <row r="12" spans="1:5" ht="12" customHeight="1" x14ac:dyDescent="0.35">
      <c r="A12" s="15"/>
      <c r="B12" s="1">
        <v>3</v>
      </c>
      <c r="C12" s="16" t="s">
        <v>17</v>
      </c>
      <c r="D12" s="26">
        <f>SUM('11'!$D$12:$K$12)</f>
        <v>6108.3899999999994</v>
      </c>
      <c r="E12" s="9">
        <f>'12'!$D$12+'2'!$D$12+'4'!$D$12+'6'!$D$12+'8'!$D$12+'10'!$D$12</f>
        <v>56281.170000000006</v>
      </c>
    </row>
    <row r="13" spans="1:5" ht="12" customHeight="1" x14ac:dyDescent="0.35">
      <c r="A13" s="15"/>
      <c r="B13" s="1">
        <v>8</v>
      </c>
      <c r="C13" s="16" t="s">
        <v>261</v>
      </c>
      <c r="D13" s="26">
        <f>SUM('11'!$D$13:$K$13)</f>
        <v>1057.03</v>
      </c>
      <c r="E13" s="9">
        <f>'12'!$D$13+'6'!$D$13+'8'!$D$13</f>
        <v>1156.5900000000001</v>
      </c>
    </row>
    <row r="14" spans="1:5" ht="12" customHeight="1" x14ac:dyDescent="0.35">
      <c r="A14" s="15"/>
      <c r="B14" s="1">
        <v>25</v>
      </c>
      <c r="C14" s="16" t="s">
        <v>332</v>
      </c>
      <c r="D14" s="26">
        <f>SUM('11'!$D$14:$K$14)</f>
        <v>29.53</v>
      </c>
      <c r="E14" s="9">
        <f>'12'!$D$14</f>
        <v>29.53</v>
      </c>
    </row>
    <row r="15" spans="1:5" ht="12" customHeight="1" x14ac:dyDescent="0.35">
      <c r="A15" s="15"/>
      <c r="B15" s="1">
        <v>51</v>
      </c>
      <c r="C15" s="16" t="s">
        <v>262</v>
      </c>
      <c r="D15" s="26"/>
      <c r="E15" s="9">
        <f>'6'!$D$14</f>
        <v>1100</v>
      </c>
    </row>
    <row r="16" spans="1:5" ht="12" customHeight="1" x14ac:dyDescent="0.35">
      <c r="A16" s="15"/>
      <c r="B16" s="1">
        <v>53</v>
      </c>
      <c r="C16" s="16" t="s">
        <v>263</v>
      </c>
      <c r="D16" s="26">
        <f>SUM('11'!$D$15:$K$15)</f>
        <v>250</v>
      </c>
      <c r="E16" s="9">
        <f>'12'!$D$16+'6'!$D$15</f>
        <v>1075.01</v>
      </c>
    </row>
    <row r="17" spans="1:5" ht="12" customHeight="1" x14ac:dyDescent="0.35">
      <c r="A17" s="15"/>
      <c r="B17" s="1">
        <v>63</v>
      </c>
      <c r="C17" s="16" t="s">
        <v>264</v>
      </c>
      <c r="D17" s="26"/>
      <c r="E17" s="9">
        <f>'6'!$D$16</f>
        <v>258.3</v>
      </c>
    </row>
    <row r="18" spans="1:5" ht="12" customHeight="1" x14ac:dyDescent="0.35">
      <c r="A18" s="15"/>
      <c r="B18" s="1">
        <v>65</v>
      </c>
      <c r="C18" s="16" t="s">
        <v>265</v>
      </c>
      <c r="D18" s="26"/>
      <c r="E18" s="9">
        <f>'6'!$D$17</f>
        <v>666.66</v>
      </c>
    </row>
    <row r="19" spans="1:5" ht="12" customHeight="1" x14ac:dyDescent="0.35">
      <c r="A19" s="15"/>
      <c r="B19" s="1">
        <v>123</v>
      </c>
      <c r="C19" s="16" t="s">
        <v>18</v>
      </c>
      <c r="D19" s="26">
        <f>SUM('11'!$D$16:$K$16)</f>
        <v>2405.34</v>
      </c>
      <c r="E19" s="9">
        <f>'12'!$D$19+'2'!$D$13+'4'!$D$13+'6'!$D$18+'8'!$D$14+'10'!$D$13</f>
        <v>20135.620000000006</v>
      </c>
    </row>
    <row r="20" spans="1:5" ht="12" customHeight="1" x14ac:dyDescent="0.35">
      <c r="A20" s="15"/>
      <c r="B20" s="1">
        <v>181</v>
      </c>
      <c r="C20" s="16" t="s">
        <v>75</v>
      </c>
      <c r="D20" s="26"/>
      <c r="E20" s="9">
        <f>'4'!$D$14+'6'!$D$19+'10'!$D$14</f>
        <v>2723.3</v>
      </c>
    </row>
    <row r="21" spans="1:5" ht="12" customHeight="1" x14ac:dyDescent="0.35">
      <c r="A21" s="15"/>
      <c r="B21" s="1">
        <v>273</v>
      </c>
      <c r="C21" s="16" t="s">
        <v>333</v>
      </c>
      <c r="D21" s="26">
        <f>SUM('11'!$D$17:$K$17)</f>
        <v>100</v>
      </c>
      <c r="E21" s="9">
        <f>'12'!$D$21</f>
        <v>100</v>
      </c>
    </row>
    <row r="22" spans="1:5" ht="12" customHeight="1" x14ac:dyDescent="0.35">
      <c r="A22" s="15"/>
      <c r="B22" s="1">
        <v>275</v>
      </c>
      <c r="C22" s="16" t="s">
        <v>19</v>
      </c>
      <c r="D22" s="26">
        <f>SUM('11'!$D$18:$K$18)</f>
        <v>15</v>
      </c>
      <c r="E22" s="9">
        <f>'12'!$D$22+'2'!$D$14+'4'!$D$15+'6'!$D$20+'8'!$D$15+'10'!$D$15</f>
        <v>885</v>
      </c>
    </row>
    <row r="23" spans="1:5" ht="12" customHeight="1" x14ac:dyDescent="0.35">
      <c r="A23" s="15"/>
      <c r="B23" s="1">
        <v>276</v>
      </c>
      <c r="C23" s="16" t="s">
        <v>20</v>
      </c>
      <c r="D23" s="26">
        <f>SUM('11'!$D$19:$K$19)</f>
        <v>-398.4</v>
      </c>
      <c r="E23" s="9">
        <f>'12'!$D$23+'2'!$D$15+'4'!$D$16+'6'!$D$21+'8'!$D$16</f>
        <v>-3999.6499999999996</v>
      </c>
    </row>
    <row r="24" spans="1:5" ht="12" customHeight="1" x14ac:dyDescent="0.35">
      <c r="A24" s="15"/>
      <c r="B24" s="1">
        <v>277</v>
      </c>
      <c r="C24" s="16" t="s">
        <v>76</v>
      </c>
      <c r="D24" s="26">
        <f>SUM('11'!$D$20:$K$20)</f>
        <v>-151.69999999999999</v>
      </c>
      <c r="E24" s="9">
        <f>'12'!$D$24+'4'!$D$17+'6'!$D$22+'8'!$D$17</f>
        <v>-1007.7299999999999</v>
      </c>
    </row>
    <row r="25" spans="1:5" ht="12" customHeight="1" x14ac:dyDescent="0.35">
      <c r="A25" s="15"/>
      <c r="B25" s="1">
        <v>278</v>
      </c>
      <c r="C25" s="16" t="s">
        <v>266</v>
      </c>
      <c r="D25" s="26">
        <f>SUM('11'!$D$21:$K$21)</f>
        <v>-530</v>
      </c>
      <c r="E25" s="9">
        <f>'12'!$D$25+'6'!$D$23</f>
        <v>-1794.01</v>
      </c>
    </row>
    <row r="26" spans="1:5" ht="12" customHeight="1" x14ac:dyDescent="0.35">
      <c r="A26" s="15"/>
      <c r="B26" s="1">
        <v>280</v>
      </c>
      <c r="C26" s="16" t="s">
        <v>267</v>
      </c>
      <c r="D26" s="26">
        <f>SUM('11'!$D$22:$K$22)</f>
        <v>-18.579999999999998</v>
      </c>
      <c r="E26" s="9">
        <f>'12'!$D$26+'6'!$D$24+'8'!$D$18</f>
        <v>-83.61</v>
      </c>
    </row>
    <row r="27" spans="1:5" ht="12" customHeight="1" x14ac:dyDescent="0.35">
      <c r="A27" s="15"/>
      <c r="B27" s="1">
        <v>282</v>
      </c>
      <c r="C27" s="16" t="s">
        <v>77</v>
      </c>
      <c r="D27" s="26"/>
      <c r="E27" s="9">
        <f>'4'!$D$18</f>
        <v>458.82</v>
      </c>
    </row>
    <row r="28" spans="1:5" ht="12" customHeight="1" x14ac:dyDescent="0.35">
      <c r="A28" s="15"/>
      <c r="B28" s="1">
        <v>283</v>
      </c>
      <c r="C28" s="16" t="s">
        <v>268</v>
      </c>
      <c r="D28" s="26"/>
      <c r="E28" s="9">
        <f>'6'!$D$25</f>
        <v>-722.02</v>
      </c>
    </row>
    <row r="29" spans="1:5" ht="12" customHeight="1" x14ac:dyDescent="0.35">
      <c r="A29" s="15"/>
      <c r="B29" s="1">
        <v>337</v>
      </c>
      <c r="C29" s="16" t="s">
        <v>21</v>
      </c>
      <c r="D29" s="26">
        <f>SUM('11'!$D$23:$K$23)</f>
        <v>398.4</v>
      </c>
      <c r="E29" s="9">
        <f>'12'!$D$29+'2'!$D$16+'4'!$D$19+'6'!$D$26+'8'!$D$19</f>
        <v>3999.6499999999996</v>
      </c>
    </row>
    <row r="30" spans="1:5" ht="12" customHeight="1" x14ac:dyDescent="0.35">
      <c r="A30" s="15"/>
      <c r="B30" s="1">
        <v>338</v>
      </c>
      <c r="C30" s="16" t="s">
        <v>269</v>
      </c>
      <c r="D30" s="26"/>
      <c r="E30" s="9">
        <f>'6'!$D$27</f>
        <v>722.02</v>
      </c>
    </row>
    <row r="31" spans="1:5" ht="12" customHeight="1" x14ac:dyDescent="0.35">
      <c r="A31" s="15"/>
      <c r="B31" s="1">
        <v>339</v>
      </c>
      <c r="C31" s="16" t="s">
        <v>78</v>
      </c>
      <c r="D31" s="26">
        <f>SUM('11'!$D$24:$K$24)</f>
        <v>214.27</v>
      </c>
      <c r="E31" s="9">
        <f>'12'!$D$31+'4'!$D$20+'6'!$D$28+'8'!$D$20+'10'!$D$16</f>
        <v>4797.33</v>
      </c>
    </row>
    <row r="32" spans="1:5" ht="12" customHeight="1" x14ac:dyDescent="0.35">
      <c r="A32" s="15"/>
      <c r="B32" s="1">
        <v>343</v>
      </c>
      <c r="C32" s="16" t="s">
        <v>79</v>
      </c>
      <c r="D32" s="26">
        <f>SUM('11'!$D$25:$K$25)</f>
        <v>151.69999999999999</v>
      </c>
      <c r="E32" s="9">
        <f>'12'!$D$32+'4'!$D$21+'6'!$D$29+'8'!$D$21</f>
        <v>1007.7299999999999</v>
      </c>
    </row>
    <row r="33" spans="1:5" ht="12" customHeight="1" x14ac:dyDescent="0.35">
      <c r="A33" s="15"/>
      <c r="B33" s="1">
        <v>345</v>
      </c>
      <c r="C33" s="16" t="s">
        <v>80</v>
      </c>
      <c r="D33" s="26"/>
      <c r="E33" s="9">
        <f>'4'!$D$22+'6'!$D$30+'8'!$D$22+'10'!$D$17</f>
        <v>806.98000000000013</v>
      </c>
    </row>
    <row r="34" spans="1:5" ht="12" customHeight="1" x14ac:dyDescent="0.35">
      <c r="A34" s="15"/>
      <c r="B34" s="1">
        <v>349</v>
      </c>
      <c r="C34" s="16" t="s">
        <v>270</v>
      </c>
      <c r="D34" s="26">
        <f>SUM('11'!$D$26:$K$26)</f>
        <v>530</v>
      </c>
      <c r="E34" s="9">
        <f>'12'!$D$34+'6'!$D$31</f>
        <v>1794.01</v>
      </c>
    </row>
    <row r="35" spans="1:5" ht="12" customHeight="1" x14ac:dyDescent="0.35">
      <c r="A35" s="15"/>
      <c r="B35" s="1">
        <v>352</v>
      </c>
      <c r="C35" s="16" t="s">
        <v>271</v>
      </c>
      <c r="D35" s="26">
        <f>SUM('11'!$D$27:$K$27)</f>
        <v>18.579999999999998</v>
      </c>
      <c r="E35" s="9">
        <f>'12'!$D$35+'6'!$D$32+'8'!$D$23</f>
        <v>83.61</v>
      </c>
    </row>
    <row r="36" spans="1:5" ht="12" customHeight="1" x14ac:dyDescent="0.35">
      <c r="A36" s="15"/>
      <c r="B36" s="1">
        <v>353</v>
      </c>
      <c r="C36" s="16" t="s">
        <v>81</v>
      </c>
      <c r="D36" s="26">
        <f>SUM('11'!$D$28:$K$28)</f>
        <v>189.76999999999998</v>
      </c>
      <c r="E36" s="9">
        <f>'12'!$D$36+'4'!$D$23+'6'!$D$33+'8'!$D$24+'10'!$D$18</f>
        <v>2208.2400000000007</v>
      </c>
    </row>
    <row r="37" spans="1:5" ht="12" customHeight="1" x14ac:dyDescent="0.35">
      <c r="A37" s="15"/>
      <c r="B37" s="1">
        <v>355</v>
      </c>
      <c r="C37" s="16" t="s">
        <v>272</v>
      </c>
      <c r="D37" s="26">
        <f>SUM('11'!$D$29:$K$29)</f>
        <v>46.18</v>
      </c>
      <c r="E37" s="9">
        <f>'12'!$D$37+'6'!$D$34+'8'!$D$25+'10'!$D$19</f>
        <v>217.2</v>
      </c>
    </row>
    <row r="38" spans="1:5" ht="12" customHeight="1" x14ac:dyDescent="0.35">
      <c r="A38" s="15"/>
      <c r="B38" s="1">
        <v>356</v>
      </c>
      <c r="C38" s="16" t="s">
        <v>82</v>
      </c>
      <c r="D38" s="26">
        <f>SUM('11'!$D$30:$K$30)</f>
        <v>69.27</v>
      </c>
      <c r="E38" s="9">
        <f>'12'!$D$38+'4'!$D$24+'6'!$D$35+'8'!$D$26+'10'!$D$20</f>
        <v>1052.75</v>
      </c>
    </row>
    <row r="39" spans="1:5" ht="12" customHeight="1" x14ac:dyDescent="0.35">
      <c r="A39" s="15"/>
      <c r="B39" s="1">
        <v>357</v>
      </c>
      <c r="C39" s="16" t="s">
        <v>273</v>
      </c>
      <c r="D39" s="26">
        <f>SUM('11'!$D$31:$K$31)</f>
        <v>-46.18</v>
      </c>
      <c r="E39" s="9">
        <f>'12'!$D$39+'6'!$D$36+'8'!$D$27+'10'!$D$21</f>
        <v>-217.2</v>
      </c>
    </row>
    <row r="40" spans="1:5" ht="12" customHeight="1" x14ac:dyDescent="0.35">
      <c r="A40" s="15"/>
      <c r="B40" s="1">
        <v>398</v>
      </c>
      <c r="C40" s="16" t="s">
        <v>22</v>
      </c>
      <c r="D40" s="26">
        <f>SUM('11'!$D$32:$K$32)</f>
        <v>757.68</v>
      </c>
      <c r="E40" s="9">
        <f>'12'!$D$40+'2'!$D$17+'4'!$D$25+'6'!$D$37+'8'!$D$28+'10'!$D$22</f>
        <v>8811.3600000000042</v>
      </c>
    </row>
    <row r="41" spans="1:5" ht="12" customHeight="1" x14ac:dyDescent="0.35">
      <c r="A41" s="15"/>
      <c r="B41" s="1">
        <v>451</v>
      </c>
      <c r="C41" s="16" t="s">
        <v>274</v>
      </c>
      <c r="D41" s="26"/>
      <c r="E41" s="9">
        <f>'6'!$D$38</f>
        <v>1886.35</v>
      </c>
    </row>
    <row r="42" spans="1:5" ht="12" customHeight="1" x14ac:dyDescent="0.35">
      <c r="A42" s="15"/>
      <c r="B42" s="1">
        <v>988</v>
      </c>
      <c r="C42" s="16" t="s">
        <v>83</v>
      </c>
      <c r="D42" s="26">
        <f>SUM('11'!$D$33:$K$33)</f>
        <v>25.04</v>
      </c>
      <c r="E42" s="9">
        <f>'12'!$D$42+'4'!$D$26+'6'!$D$39+'8'!$D$29+'10'!$D$23</f>
        <v>387.48999999999995</v>
      </c>
    </row>
    <row r="43" spans="1:5" ht="12" customHeight="1" x14ac:dyDescent="0.35">
      <c r="A43" s="15"/>
      <c r="B43" s="1"/>
      <c r="C43" s="16"/>
      <c r="D43" s="26"/>
      <c r="E43" s="9"/>
    </row>
    <row r="44" spans="1:5" ht="12" customHeight="1" x14ac:dyDescent="0.35">
      <c r="A44" s="15" t="s">
        <v>23</v>
      </c>
      <c r="B44" s="1"/>
      <c r="C44" s="16"/>
      <c r="D44" s="26">
        <f>SUM('11'!$D$35:$K$35)</f>
        <v>25614.520000000004</v>
      </c>
      <c r="E44" s="9">
        <f>'12'!$D$44+'2'!$D$19+'4'!$D$28+'6'!$D$41+'8'!$D$31+'10'!$D$25</f>
        <v>225452.38999999996</v>
      </c>
    </row>
    <row r="45" spans="1:5" ht="12" customHeight="1" x14ac:dyDescent="0.35">
      <c r="A45" s="15"/>
      <c r="B45" s="1"/>
      <c r="C45" s="16"/>
      <c r="D45" s="26"/>
      <c r="E45" s="9"/>
    </row>
    <row r="46" spans="1:5" ht="12" customHeight="1" x14ac:dyDescent="0.35">
      <c r="A46" s="15"/>
      <c r="B46" s="1">
        <v>768</v>
      </c>
      <c r="C46" s="16" t="s">
        <v>84</v>
      </c>
      <c r="D46" s="26"/>
      <c r="E46" s="9">
        <f>'4'!$D$30</f>
        <v>1119.4000000000001</v>
      </c>
    </row>
    <row r="47" spans="1:5" ht="12" customHeight="1" x14ac:dyDescent="0.35">
      <c r="A47" s="15"/>
      <c r="B47" s="1">
        <v>789</v>
      </c>
      <c r="C47" s="16" t="s">
        <v>24</v>
      </c>
      <c r="D47" s="26">
        <f>SUM('11'!$D$37:$K$37)</f>
        <v>1618.17</v>
      </c>
      <c r="E47" s="9">
        <f>'12'!$D$47+'2'!$D$21+'4'!$D$31+'6'!$D$43+'8'!$D$33+'10'!$D$27</f>
        <v>17148.340000000007</v>
      </c>
    </row>
    <row r="48" spans="1:5" ht="12" customHeight="1" x14ac:dyDescent="0.35">
      <c r="A48" s="15"/>
      <c r="B48" s="1">
        <v>989</v>
      </c>
      <c r="C48" s="16" t="s">
        <v>85</v>
      </c>
      <c r="D48" s="26">
        <f>SUM('11'!$D$38:$K$38)</f>
        <v>25.04</v>
      </c>
      <c r="E48" s="9">
        <f>'12'!$D$48+'4'!$D$32+'6'!$D$44+'8'!$D$34+'10'!$D$28</f>
        <v>387.48999999999995</v>
      </c>
    </row>
    <row r="49" spans="1:5" ht="12" customHeight="1" x14ac:dyDescent="0.35">
      <c r="A49" s="15"/>
      <c r="B49" s="1">
        <v>995</v>
      </c>
      <c r="C49" s="16" t="s">
        <v>25</v>
      </c>
      <c r="D49" s="26">
        <f>SUM('11'!$D$39:$K$39)</f>
        <v>1098.6199999999999</v>
      </c>
      <c r="E49" s="9">
        <f>'12'!$D$49+'2'!$D$22+'4'!$D$33+'6'!$D$45+'8'!$D$35+'10'!$D$29</f>
        <v>9867.1400000000031</v>
      </c>
    </row>
    <row r="50" spans="1:5" ht="12" customHeight="1" x14ac:dyDescent="0.35">
      <c r="A50" s="15"/>
      <c r="B50" s="1">
        <v>996</v>
      </c>
      <c r="C50" s="16" t="s">
        <v>26</v>
      </c>
      <c r="D50" s="26">
        <f>SUM('11'!$D$40:$K$40)</f>
        <v>22.509999999999998</v>
      </c>
      <c r="E50" s="9">
        <f>'12'!$D$50+'2'!$D$23+'4'!$D$34+'6'!$D$46+'8'!$D$36+'10'!$D$30</f>
        <v>202.41999999999996</v>
      </c>
    </row>
    <row r="51" spans="1:5" ht="12" customHeight="1" x14ac:dyDescent="0.35">
      <c r="A51" s="15"/>
      <c r="B51" s="1">
        <v>997</v>
      </c>
      <c r="C51" s="16" t="s">
        <v>27</v>
      </c>
      <c r="D51" s="26">
        <f>SUM('11'!$D$41:$K$41)</f>
        <v>349.06</v>
      </c>
      <c r="E51" s="9">
        <f>'12'!$D$51+'2'!$D$24+'4'!$D$35+'6'!$D$47+'8'!$D$37+'10'!$D$31</f>
        <v>3137.7599999999998</v>
      </c>
    </row>
    <row r="52" spans="1:5" ht="12" customHeight="1" x14ac:dyDescent="0.35">
      <c r="A52" s="15"/>
      <c r="B52" s="1">
        <v>999</v>
      </c>
      <c r="C52" s="16" t="s">
        <v>28</v>
      </c>
      <c r="D52" s="26">
        <f>SUM('11'!$D$42:$K$42)</f>
        <v>5840.1200000000008</v>
      </c>
      <c r="E52" s="9">
        <f>'12'!$D$52+'2'!$D$25+'4'!$D$36+'6'!$D$48+'8'!$D$38+'10'!$D$32</f>
        <v>43547.720000000008</v>
      </c>
    </row>
    <row r="53" spans="1:5" ht="12" customHeight="1" x14ac:dyDescent="0.35">
      <c r="A53" s="15"/>
      <c r="B53" s="1"/>
      <c r="C53" s="16"/>
      <c r="D53" s="26"/>
      <c r="E53" s="9"/>
    </row>
    <row r="54" spans="1:5" ht="12" customHeight="1" x14ac:dyDescent="0.35">
      <c r="A54" s="15" t="s">
        <v>29</v>
      </c>
      <c r="B54" s="1"/>
      <c r="C54" s="16"/>
      <c r="D54" s="26">
        <f>SUM('11'!$D$44:$K$44)</f>
        <v>8953.52</v>
      </c>
      <c r="E54" s="9">
        <f>'12'!$D$54+'2'!$D$27+'4'!$D$38+'6'!$D$50+'8'!$D$40+'10'!$D$34</f>
        <v>75410.27</v>
      </c>
    </row>
    <row r="55" spans="1:5" ht="12" customHeight="1" x14ac:dyDescent="0.35">
      <c r="A55" s="15"/>
      <c r="B55" s="1"/>
      <c r="C55" s="16"/>
      <c r="D55" s="26"/>
      <c r="E55" s="9"/>
    </row>
    <row r="56" spans="1:5" ht="12" customHeight="1" x14ac:dyDescent="0.35">
      <c r="A56" s="15" t="s">
        <v>30</v>
      </c>
      <c r="B56" s="1"/>
      <c r="C56" s="16"/>
      <c r="D56" s="26">
        <f>SUM('11'!$D$46:$K$46)</f>
        <v>16661</v>
      </c>
      <c r="E56" s="9">
        <f>'12'!$D$56+'2'!$D$29+'4'!$D$40+'6'!$D$52+'8'!$D$42+'10'!$D$36</f>
        <v>150042.12000000002</v>
      </c>
    </row>
    <row r="57" spans="1:5" ht="12" customHeight="1" x14ac:dyDescent="0.35">
      <c r="A57" s="15" t="s">
        <v>31</v>
      </c>
      <c r="B57" s="1"/>
      <c r="C57" s="16"/>
      <c r="D57" s="26">
        <f>SUM('11'!$D$47:$K$47)</f>
        <v>0</v>
      </c>
      <c r="E57" s="9">
        <f>'12'!$D$57+'2'!$D$30+'4'!$D$41+'6'!$D$53+'8'!$D$43+'10'!$D$37</f>
        <v>0</v>
      </c>
    </row>
    <row r="58" spans="1:5" ht="12" customHeight="1" x14ac:dyDescent="0.35">
      <c r="A58" s="15" t="s">
        <v>32</v>
      </c>
      <c r="B58" s="1"/>
      <c r="C58" s="16"/>
      <c r="D58" s="26">
        <f>SUM('11'!$D$48:$K$48)</f>
        <v>7536.99</v>
      </c>
      <c r="E58" s="9">
        <f>'12'!$D$58+'2'!$D$31+'4'!$D$42+'6'!$D$54+'8'!$D$44+'10'!$D$38</f>
        <v>67095.389999999985</v>
      </c>
    </row>
    <row r="59" spans="1:5" ht="12" customHeight="1" x14ac:dyDescent="0.35">
      <c r="A59" s="15" t="s">
        <v>33</v>
      </c>
      <c r="B59" s="1"/>
      <c r="C59" s="16"/>
      <c r="D59" s="26">
        <f>SUM('11'!$D$49:$K$49)</f>
        <v>1470.1899999999998</v>
      </c>
      <c r="E59" s="9">
        <f>'12'!$D$59+'2'!$D$32+'4'!$D$43+'6'!$D$55+'8'!$D$45+'10'!$D$39</f>
        <v>13207.32</v>
      </c>
    </row>
    <row r="60" spans="1:5" ht="12" customHeight="1" x14ac:dyDescent="0.35">
      <c r="A60" s="15" t="s">
        <v>34</v>
      </c>
      <c r="B60" s="1"/>
      <c r="C60" s="16"/>
      <c r="D60" s="26">
        <f>SUM('11'!$D$50:$K$50)</f>
        <v>9007.1799999999985</v>
      </c>
      <c r="E60" s="9">
        <f>'12'!$D$60+'2'!$D$33+'4'!$D$44+'6'!$D$56+'8'!$D$46+'10'!$D$40</f>
        <v>80302.709999999992</v>
      </c>
    </row>
    <row r="61" spans="1:5" ht="12" customHeight="1" x14ac:dyDescent="0.35">
      <c r="A61" s="15" t="s">
        <v>35</v>
      </c>
      <c r="B61" s="1"/>
      <c r="C61" s="16"/>
      <c r="D61" s="26">
        <f>SUM('11'!$D$51:$K$51)</f>
        <v>0</v>
      </c>
      <c r="E61" s="9">
        <f>'12'!$D$61+'2'!$D$34+'4'!$D$45+'6'!$D$57+'8'!$D$47+'10'!$D$41</f>
        <v>0</v>
      </c>
    </row>
    <row r="62" spans="1:5" ht="12" customHeight="1" x14ac:dyDescent="0.35">
      <c r="A62" s="15" t="s">
        <v>36</v>
      </c>
      <c r="B62" s="1"/>
      <c r="C62" s="16"/>
      <c r="D62" s="26">
        <f>SUM('11'!$D$52:$K$52)</f>
        <v>0</v>
      </c>
      <c r="E62" s="9">
        <f>'12'!$D$62+'2'!$D$35+'4'!$D$46+'6'!$D$58+'8'!$D$48+'10'!$D$42</f>
        <v>0</v>
      </c>
    </row>
    <row r="63" spans="1:5" ht="12" customHeight="1" x14ac:dyDescent="0.35">
      <c r="A63" s="15" t="s">
        <v>37</v>
      </c>
      <c r="B63" s="1"/>
      <c r="C63" s="16"/>
      <c r="D63" s="26">
        <f>SUM('11'!$D$53:$K$53)</f>
        <v>33151.51</v>
      </c>
      <c r="E63" s="9">
        <f>'12'!$D$63+'2'!$D$36+'4'!$D$47+'6'!$D$59+'8'!$D$49+'10'!$D$43</f>
        <v>292547.78000000003</v>
      </c>
    </row>
    <row r="64" spans="1:5" ht="12" customHeight="1" x14ac:dyDescent="0.35">
      <c r="A64" s="15" t="s">
        <v>38</v>
      </c>
      <c r="B64" s="1"/>
      <c r="C64" s="16"/>
      <c r="D64" s="26">
        <f>SUM('11'!$D$54:$K$54)</f>
        <v>23343.88</v>
      </c>
      <c r="E64" s="9">
        <f>'12'!$D$64+'2'!$D$37+'4'!$D$48+'6'!$D$60+'8'!$D$50+'10'!$D$44</f>
        <v>213798.36</v>
      </c>
    </row>
    <row r="65" spans="1:5" ht="12" customHeight="1" x14ac:dyDescent="0.35">
      <c r="A65" s="15" t="s">
        <v>39</v>
      </c>
      <c r="B65" s="1"/>
      <c r="C65" s="16"/>
      <c r="D65" s="26">
        <f>SUM('11'!$D$55:$K$55)</f>
        <v>23343.88</v>
      </c>
      <c r="E65" s="9">
        <f>'12'!$D$65+'2'!$D$38+'4'!$D$49+'6'!$D$61+'8'!$D$51+'10'!$D$45</f>
        <v>213798.36</v>
      </c>
    </row>
    <row r="66" spans="1:5" ht="12" customHeight="1" x14ac:dyDescent="0.35">
      <c r="A66" s="15" t="s">
        <v>40</v>
      </c>
      <c r="B66" s="1"/>
      <c r="C66" s="16"/>
      <c r="D66" s="26">
        <f>SUM('11'!$D$56:$K$56)</f>
        <v>23971.31</v>
      </c>
      <c r="E66" s="9">
        <f>'12'!$D$66+'2'!$D$39+'4'!$D$50+'6'!$D$62+'8'!$D$52+'10'!$D$46</f>
        <v>207916.56000000003</v>
      </c>
    </row>
    <row r="67" spans="1:5" ht="12" customHeight="1" x14ac:dyDescent="0.35">
      <c r="A67" s="15" t="s">
        <v>41</v>
      </c>
      <c r="B67" s="1"/>
      <c r="C67" s="16"/>
      <c r="D67" s="26">
        <f>SUM('11'!$D$57:$K$57)</f>
        <v>115.45</v>
      </c>
      <c r="E67" s="9">
        <f>'12'!$D$67+'2'!$D$40+'4'!$D$51+'6'!$D$63+'8'!$D$53+'10'!$D$47</f>
        <v>1728.7700000000002</v>
      </c>
    </row>
    <row r="68" spans="1:5" ht="12" customHeight="1" x14ac:dyDescent="0.35">
      <c r="A68" s="15" t="s">
        <v>42</v>
      </c>
      <c r="B68" s="1"/>
      <c r="C68" s="16"/>
      <c r="D68" s="26">
        <f>SUM('11'!$D$58:$K$58)</f>
        <v>0</v>
      </c>
      <c r="E68" s="9">
        <f>'12'!$D$68+'2'!$D$41+'4'!$D$52+'6'!$D$64+'8'!$D$54+'10'!$D$48</f>
        <v>0</v>
      </c>
    </row>
    <row r="69" spans="1:5" ht="12" customHeight="1" x14ac:dyDescent="0.35">
      <c r="A69" s="15" t="s">
        <v>43</v>
      </c>
      <c r="B69" s="1"/>
      <c r="C69" s="16"/>
      <c r="D69" s="25">
        <f>SUM('11'!$D$59:$K$59)</f>
        <v>0</v>
      </c>
      <c r="E69" s="8">
        <f>'12'!$D$69+'2'!$D$42+'4'!$D$53+'6'!$D$65+'8'!$D$55+'10'!$D$49</f>
        <v>0</v>
      </c>
    </row>
    <row r="70" spans="1:5" ht="12" customHeight="1" x14ac:dyDescent="0.35">
      <c r="A70" s="15" t="s">
        <v>44</v>
      </c>
      <c r="B70" s="1"/>
      <c r="C70" s="16"/>
      <c r="D70" s="26">
        <f>SUM('11'!$D$60:$K$60)</f>
        <v>0</v>
      </c>
      <c r="E70" s="9">
        <f>'12'!$D$70+'2'!$D$43+'4'!$D$54+'6'!$D$66+'8'!$D$56+'10'!$D$50</f>
        <v>0</v>
      </c>
    </row>
    <row r="71" spans="1:5" ht="12" customHeight="1" x14ac:dyDescent="0.35">
      <c r="A71" s="15" t="s">
        <v>45</v>
      </c>
      <c r="B71" s="1"/>
      <c r="C71" s="16"/>
      <c r="D71" s="26">
        <f>SUM('11'!$D$61:$K$61)</f>
        <v>994.67</v>
      </c>
      <c r="E71" s="9">
        <f>'12'!$D$71+'2'!$D$44+'4'!$D$55+'6'!$D$67+'8'!$D$57+'10'!$D$51</f>
        <v>10363.740000000002</v>
      </c>
    </row>
    <row r="72" spans="1:5" ht="12" customHeight="1" x14ac:dyDescent="0.35">
      <c r="A72" s="15" t="s">
        <v>46</v>
      </c>
      <c r="B72" s="1"/>
      <c r="C72" s="16"/>
      <c r="D72" s="26">
        <f>SUM('11'!$D$62:$K$62)</f>
        <v>0</v>
      </c>
      <c r="E72" s="9">
        <f>'12'!$D$72+'2'!$D$45+'4'!$D$56+'6'!$D$68+'8'!$D$58+'10'!$D$52</f>
        <v>0</v>
      </c>
    </row>
    <row r="73" spans="1:5" ht="12" customHeight="1" x14ac:dyDescent="0.35">
      <c r="A73" s="15" t="s">
        <v>47</v>
      </c>
      <c r="B73" s="1"/>
      <c r="C73" s="16"/>
      <c r="D73" s="26">
        <f>SUM('11'!$D$63:$K$63)</f>
        <v>0</v>
      </c>
      <c r="E73" s="9">
        <f>'12'!$D$73+'2'!$D$46+'4'!$D$57+'6'!$D$69+'8'!$D$59+'10'!$D$53</f>
        <v>0</v>
      </c>
    </row>
    <row r="74" spans="1:5" ht="12" customHeight="1" x14ac:dyDescent="0.35">
      <c r="A74" s="15" t="s">
        <v>48</v>
      </c>
      <c r="B74" s="1"/>
      <c r="C74" s="16"/>
      <c r="D74" s="26">
        <f>SUM('11'!$D$64:$K$64)</f>
        <v>210</v>
      </c>
      <c r="E74" s="9">
        <f>'12'!$D$74+'2'!$D$47+'4'!$D$58+'6'!$D$70+'8'!$D$60+'10'!$D$54</f>
        <v>2113</v>
      </c>
    </row>
    <row r="75" spans="1:5" ht="12" customHeight="1" thickBot="1" x14ac:dyDescent="0.4">
      <c r="A75" s="17" t="s">
        <v>51</v>
      </c>
      <c r="B75" s="18"/>
      <c r="C75" s="19"/>
      <c r="D75" s="45">
        <v>7</v>
      </c>
      <c r="E75" s="44">
        <v>71</v>
      </c>
    </row>
  </sheetData>
  <pageMargins left="0" right="0" top="0" bottom="0.39370078740157499" header="0" footer="0"/>
  <pageSetup paperSize="9" fitToWidth="0" orientation="landscape"/>
  <headerFooter>
    <oddHeader>&amp;CIMPUTACIÓN DE COSTES&amp;RFecha listado: 29/01/26</oddHeader>
    <oddFooter>&amp;RPág.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24</vt:i4>
      </vt:variant>
    </vt:vector>
  </HeadingPairs>
  <TitlesOfParts>
    <vt:vector size="36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'1'!Área_de_impresión</vt:lpstr>
      <vt:lpstr>'10'!Área_de_impresión</vt:lpstr>
      <vt:lpstr>'11'!Área_de_impresión</vt:lpstr>
      <vt:lpstr>'12'!Área_de_impresión</vt:lpstr>
      <vt:lpstr>'2'!Área_de_impresión</vt:lpstr>
      <vt:lpstr>'3'!Área_de_impresión</vt:lpstr>
      <vt:lpstr>'4'!Área_de_impresión</vt:lpstr>
      <vt:lpstr>'5'!Área_de_impresión</vt:lpstr>
      <vt:lpstr>'6'!Área_de_impresión</vt:lpstr>
      <vt:lpstr>'7'!Área_de_impresión</vt:lpstr>
      <vt:lpstr>'8'!Área_de_impresión</vt:lpstr>
      <vt:lpstr>'9'!Área_de_impresión</vt:lpstr>
      <vt:lpstr>'1'!Títulos_a_imprimir</vt:lpstr>
      <vt:lpstr>'10'!Títulos_a_imprimir</vt:lpstr>
      <vt:lpstr>'11'!Títulos_a_imprimir</vt:lpstr>
      <vt:lpstr>'12'!Títulos_a_imprimir</vt:lpstr>
      <vt:lpstr>'2'!Títulos_a_imprimir</vt:lpstr>
      <vt:lpstr>'3'!Títulos_a_imprimir</vt:lpstr>
      <vt:lpstr>'4'!Títulos_a_imprimir</vt:lpstr>
      <vt:lpstr>'5'!Títulos_a_imprimir</vt:lpstr>
      <vt:lpstr>'6'!Títulos_a_imprimir</vt:lpstr>
      <vt:lpstr>'7'!Títulos_a_imprimir</vt:lpstr>
      <vt:lpstr>'8'!Títulos_a_imprimir</vt:lpstr>
      <vt:lpstr>'9'!Títulos_a_imprimir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Ino Cumplido</dc:creator>
  <cp:keywords/>
  <dc:description/>
  <cp:lastModifiedBy>Ino Cumplido</cp:lastModifiedBy>
  <dcterms:created xsi:type="dcterms:W3CDTF">2026-01-29T08:33:40Z</dcterms:created>
  <dcterms:modified xsi:type="dcterms:W3CDTF">2026-01-29T08:33:40Z</dcterms:modified>
  <cp:category/>
</cp:coreProperties>
</file>